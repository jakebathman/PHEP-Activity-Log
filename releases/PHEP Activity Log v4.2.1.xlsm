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9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0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1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2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1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24720" windowHeight="10620" tabRatio="639"/>
  </bookViews>
  <sheets>
    <sheet name="MAIN" sheetId="3" r:id="rId1"/>
    <sheet name="FY13-17" sheetId="15" r:id="rId2"/>
    <sheet name="FY13-16" sheetId="14" r:id="rId3"/>
    <sheet name="FY13-15" sheetId="12" r:id="rId4"/>
    <sheet name="FY13-14" sheetId="13" r:id="rId5"/>
    <sheet name="FY13-04" sheetId="11" r:id="rId6"/>
    <sheet name="FY13-30" sheetId="10" r:id="rId7"/>
    <sheet name="FY13-21" sheetId="6" r:id="rId8"/>
    <sheet name="FY13-22" sheetId="8" r:id="rId9"/>
    <sheet name="FY13-23" sheetId="9" r:id="rId10"/>
    <sheet name="FY13-20" sheetId="7" r:id="rId11"/>
    <sheet name="FY13-19" sheetId="1" r:id="rId12"/>
    <sheet name="Refs" sheetId="2" r:id="rId13"/>
    <sheet name="templatesheet" sheetId="4" r:id="rId14"/>
    <sheet name="reporttemplatesheet" sheetId="5" r:id="rId15"/>
  </sheets>
  <functionGroups builtInGroupCount="17"/>
  <definedNames>
    <definedName name="nRngActivityCategories">OFFSET(Refs!$B$2,0,0,COUNTA(Refs!$B:$B)-1,1)</definedName>
  </definedNames>
  <calcPr calcId="145621"/>
</workbook>
</file>

<file path=xl/calcChain.xml><?xml version="1.0" encoding="utf-8"?>
<calcChain xmlns="http://schemas.openxmlformats.org/spreadsheetml/2006/main">
  <c r="G3" i="2" l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2" i="2"/>
  <c r="O8" i="15" l="1"/>
  <c r="N8" i="15"/>
  <c r="M8" i="15"/>
  <c r="L8" i="15"/>
  <c r="K8" i="15"/>
  <c r="J8" i="15"/>
  <c r="I8" i="15"/>
  <c r="H8" i="15"/>
  <c r="G8" i="15"/>
  <c r="F8" i="15"/>
  <c r="E8" i="15"/>
  <c r="D8" i="15"/>
  <c r="C8" i="15"/>
  <c r="B8" i="15"/>
  <c r="P7" i="15"/>
  <c r="P8" i="15" s="1"/>
  <c r="O8" i="14"/>
  <c r="N8" i="14"/>
  <c r="M8" i="14"/>
  <c r="L8" i="14"/>
  <c r="K8" i="14"/>
  <c r="J8" i="14"/>
  <c r="I8" i="14"/>
  <c r="H8" i="14"/>
  <c r="G8" i="14"/>
  <c r="F8" i="14"/>
  <c r="E8" i="14"/>
  <c r="D8" i="14"/>
  <c r="C8" i="14"/>
  <c r="B8" i="14"/>
  <c r="P7" i="14"/>
  <c r="P8" i="14" s="1"/>
  <c r="P8" i="13" l="1"/>
  <c r="O8" i="13"/>
  <c r="N8" i="13"/>
  <c r="M8" i="13"/>
  <c r="L8" i="13"/>
  <c r="K8" i="13"/>
  <c r="J8" i="13"/>
  <c r="I8" i="13"/>
  <c r="H8" i="13"/>
  <c r="G8" i="13"/>
  <c r="F8" i="13"/>
  <c r="E8" i="13"/>
  <c r="D8" i="13"/>
  <c r="C8" i="13"/>
  <c r="B8" i="13"/>
  <c r="P7" i="13"/>
  <c r="P8" i="12"/>
  <c r="O8" i="12"/>
  <c r="N8" i="12"/>
  <c r="M8" i="12"/>
  <c r="L8" i="12"/>
  <c r="K8" i="12"/>
  <c r="J8" i="12"/>
  <c r="I8" i="12"/>
  <c r="H8" i="12"/>
  <c r="G8" i="12"/>
  <c r="F8" i="12"/>
  <c r="E8" i="12"/>
  <c r="D8" i="12"/>
  <c r="C8" i="12"/>
  <c r="B8" i="12"/>
  <c r="P7" i="12"/>
  <c r="X3" i="2" l="1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2" i="2"/>
  <c r="O8" i="11" l="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P7" i="11"/>
  <c r="P8" i="11" s="1"/>
  <c r="O8" i="10"/>
  <c r="N8" i="10"/>
  <c r="M8" i="10"/>
  <c r="L8" i="10"/>
  <c r="K8" i="10"/>
  <c r="J8" i="10"/>
  <c r="I8" i="10"/>
  <c r="H8" i="10"/>
  <c r="G8" i="10"/>
  <c r="F8" i="10"/>
  <c r="E8" i="10"/>
  <c r="D8" i="10"/>
  <c r="C8" i="10"/>
  <c r="B8" i="10"/>
  <c r="P7" i="10"/>
  <c r="P8" i="10" s="1"/>
  <c r="O9" i="6" l="1"/>
  <c r="H9" i="6"/>
  <c r="P7" i="6"/>
  <c r="P8" i="6" s="1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O9" i="9" l="1"/>
  <c r="H9" i="9"/>
  <c r="P7" i="9"/>
  <c r="P8" i="9" s="1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O12" i="1" l="1"/>
  <c r="H12" i="1"/>
  <c r="P10" i="1"/>
  <c r="P9" i="1"/>
  <c r="P8" i="1"/>
  <c r="P7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P12" i="8"/>
  <c r="P11" i="8"/>
  <c r="P10" i="8"/>
  <c r="P9" i="8"/>
  <c r="P8" i="8"/>
  <c r="P7" i="8"/>
  <c r="O13" i="8"/>
  <c r="N13" i="8"/>
  <c r="O14" i="8" s="1"/>
  <c r="M13" i="8"/>
  <c r="L13" i="8"/>
  <c r="K13" i="8"/>
  <c r="J13" i="8"/>
  <c r="I13" i="8"/>
  <c r="H13" i="8"/>
  <c r="G13" i="8"/>
  <c r="E13" i="8"/>
  <c r="C13" i="8"/>
  <c r="B13" i="8"/>
  <c r="P11" i="1" l="1"/>
  <c r="H14" i="8"/>
  <c r="P13" i="8"/>
  <c r="P11" i="7"/>
  <c r="P10" i="7"/>
  <c r="P9" i="7"/>
  <c r="P8" i="7"/>
  <c r="P7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12" i="7"/>
  <c r="P12" i="7" l="1"/>
  <c r="O8" i="4" l="1"/>
  <c r="N8" i="4"/>
  <c r="M8" i="4"/>
  <c r="L8" i="4"/>
  <c r="K8" i="4"/>
  <c r="J8" i="4"/>
  <c r="I8" i="4"/>
  <c r="H8" i="4"/>
  <c r="G8" i="4"/>
  <c r="F8" i="4"/>
  <c r="E8" i="4"/>
  <c r="D8" i="4"/>
  <c r="C8" i="4"/>
  <c r="B8" i="4"/>
  <c r="P7" i="4"/>
  <c r="P8" i="4" s="1"/>
  <c r="E2" i="2" l="1"/>
  <c r="D3" i="2" l="1"/>
  <c r="E3" i="2" s="1"/>
  <c r="F2" i="2"/>
  <c r="I2" i="2" s="1"/>
  <c r="H2" i="2" l="1"/>
  <c r="J3" i="2"/>
  <c r="K2" i="2"/>
  <c r="J2" i="2"/>
  <c r="K3" i="2"/>
  <c r="F3" i="2"/>
  <c r="I3" i="2" s="1"/>
  <c r="D4" i="2"/>
  <c r="H3" i="2"/>
  <c r="E4" i="2" l="1"/>
  <c r="D5" i="2" l="1"/>
  <c r="K4" i="2"/>
  <c r="F4" i="2"/>
  <c r="I4" i="2" s="1"/>
  <c r="H4" i="2"/>
  <c r="J4" i="2" l="1"/>
  <c r="E5" i="2"/>
  <c r="J5" i="2" l="1"/>
  <c r="D6" i="2"/>
  <c r="K5" i="2"/>
  <c r="F5" i="2"/>
  <c r="I5" i="2" s="1"/>
  <c r="H5" i="2"/>
  <c r="E6" i="2" l="1"/>
  <c r="H6" i="2" s="1"/>
  <c r="D7" i="2" l="1"/>
  <c r="K6" i="2"/>
  <c r="F6" i="2"/>
  <c r="I6" i="2" s="1"/>
  <c r="J6" i="2" l="1"/>
  <c r="E7" i="2"/>
  <c r="J7" i="2" l="1"/>
  <c r="D8" i="2"/>
  <c r="K7" i="2"/>
  <c r="F7" i="2"/>
  <c r="I7" i="2" s="1"/>
  <c r="H7" i="2"/>
  <c r="E8" i="2" l="1"/>
  <c r="H8" i="2" l="1"/>
  <c r="D9" i="2"/>
  <c r="K8" i="2"/>
  <c r="F8" i="2"/>
  <c r="I8" i="2" s="1"/>
  <c r="J8" i="2" l="1"/>
  <c r="E9" i="2"/>
  <c r="J9" i="2" l="1"/>
  <c r="D10" i="2"/>
  <c r="K9" i="2"/>
  <c r="F9" i="2"/>
  <c r="I9" i="2" s="1"/>
  <c r="H9" i="2"/>
  <c r="E10" i="2" l="1"/>
  <c r="H10" i="2" s="1"/>
  <c r="J10" i="2" l="1"/>
  <c r="D11" i="2"/>
  <c r="K10" i="2"/>
  <c r="F10" i="2"/>
  <c r="I10" i="2" s="1"/>
  <c r="E11" i="2" l="1"/>
  <c r="D12" i="2" l="1"/>
  <c r="K11" i="2"/>
  <c r="F11" i="2"/>
  <c r="I11" i="2" s="1"/>
  <c r="H11" i="2"/>
  <c r="J11" i="2" l="1"/>
  <c r="E12" i="2"/>
  <c r="H12" i="2" l="1"/>
  <c r="J12" i="2"/>
  <c r="D13" i="2"/>
  <c r="K12" i="2"/>
  <c r="F12" i="2"/>
  <c r="I12" i="2" s="1"/>
  <c r="E13" i="2" l="1"/>
  <c r="H13" i="2" s="1"/>
  <c r="D14" i="2" l="1"/>
  <c r="K13" i="2"/>
  <c r="F13" i="2"/>
  <c r="I13" i="2" s="1"/>
  <c r="J13" i="2" l="1"/>
  <c r="E14" i="2"/>
  <c r="H14" i="2" l="1"/>
  <c r="J14" i="2"/>
  <c r="D15" i="2"/>
  <c r="K14" i="2"/>
  <c r="F14" i="2"/>
  <c r="I14" i="2" s="1"/>
  <c r="E15" i="2" l="1"/>
  <c r="H15" i="2" l="1"/>
  <c r="D16" i="2"/>
  <c r="K15" i="2"/>
  <c r="F15" i="2"/>
  <c r="I15" i="2" s="1"/>
  <c r="J15" i="2" l="1"/>
  <c r="E16" i="2"/>
  <c r="H16" i="2" l="1"/>
  <c r="J16" i="2"/>
  <c r="D17" i="2"/>
  <c r="F16" i="2"/>
  <c r="I16" i="2" s="1"/>
  <c r="K16" i="2"/>
  <c r="E17" i="2" l="1"/>
  <c r="H17" i="2" l="1"/>
  <c r="D18" i="2"/>
  <c r="K17" i="2"/>
  <c r="F17" i="2"/>
  <c r="I17" i="2" s="1"/>
  <c r="J17" i="2" l="1"/>
  <c r="E18" i="2"/>
  <c r="H18" i="2" l="1"/>
  <c r="J18" i="2"/>
  <c r="D19" i="2"/>
  <c r="K18" i="2"/>
  <c r="F18" i="2"/>
  <c r="I18" i="2" s="1"/>
  <c r="E19" i="2" l="1"/>
  <c r="H19" i="2" l="1"/>
  <c r="D20" i="2"/>
  <c r="K19" i="2"/>
  <c r="F19" i="2"/>
  <c r="I19" i="2" s="1"/>
  <c r="J19" i="2" l="1"/>
  <c r="E20" i="2"/>
  <c r="J20" i="2" l="1"/>
  <c r="D21" i="2"/>
  <c r="K20" i="2"/>
  <c r="F20" i="2"/>
  <c r="I20" i="2" s="1"/>
  <c r="H20" i="2"/>
  <c r="E21" i="2" l="1"/>
  <c r="H21" i="2" l="1"/>
  <c r="J21" i="2"/>
  <c r="D22" i="2"/>
  <c r="K21" i="2"/>
  <c r="F21" i="2"/>
  <c r="I21" i="2" s="1"/>
  <c r="E22" i="2" l="1"/>
  <c r="H22" i="2" s="1"/>
  <c r="D23" i="2" l="1"/>
  <c r="K22" i="2"/>
  <c r="F22" i="2"/>
  <c r="I22" i="2" s="1"/>
  <c r="J22" i="2" l="1"/>
  <c r="E23" i="2"/>
  <c r="J23" i="2" l="1"/>
  <c r="D24" i="2"/>
  <c r="K23" i="2"/>
  <c r="F23" i="2"/>
  <c r="I23" i="2" s="1"/>
  <c r="H23" i="2"/>
  <c r="E24" i="2" l="1"/>
  <c r="D25" i="2" l="1"/>
  <c r="K24" i="2"/>
  <c r="F24" i="2"/>
  <c r="I24" i="2" s="1"/>
  <c r="H24" i="2"/>
  <c r="J24" i="2" l="1"/>
  <c r="E25" i="2"/>
  <c r="J25" i="2" l="1"/>
  <c r="D26" i="2"/>
  <c r="K25" i="2"/>
  <c r="F25" i="2"/>
  <c r="I25" i="2" s="1"/>
  <c r="H25" i="2"/>
  <c r="E26" i="2" l="1"/>
  <c r="D27" i="2" l="1"/>
  <c r="K26" i="2"/>
  <c r="F26" i="2"/>
  <c r="I26" i="2" s="1"/>
  <c r="H26" i="2"/>
  <c r="J26" i="2" l="1"/>
  <c r="E27" i="2"/>
  <c r="H27" i="2" l="1"/>
  <c r="J27" i="2"/>
  <c r="K27" i="2"/>
  <c r="F27" i="2"/>
  <c r="I27" i="2" s="1"/>
  <c r="D28" i="2"/>
  <c r="E28" i="2" l="1"/>
  <c r="H28" i="2" l="1"/>
  <c r="F28" i="2"/>
  <c r="I28" i="2" s="1"/>
  <c r="D29" i="2"/>
  <c r="K28" i="2"/>
  <c r="J28" i="2" l="1"/>
  <c r="E29" i="2"/>
  <c r="H29" i="2" l="1"/>
  <c r="J29" i="2"/>
  <c r="K29" i="2"/>
  <c r="D30" i="2"/>
  <c r="F29" i="2"/>
  <c r="I29" i="2" s="1"/>
  <c r="E30" i="2" l="1"/>
  <c r="H30" i="2" l="1"/>
  <c r="K30" i="2"/>
  <c r="F30" i="2"/>
  <c r="D31" i="2"/>
  <c r="J30" i="2" l="1"/>
  <c r="I30" i="2"/>
  <c r="E31" i="2"/>
  <c r="J31" i="2" l="1"/>
  <c r="H31" i="2"/>
  <c r="K31" i="2"/>
  <c r="D32" i="2"/>
  <c r="F31" i="2"/>
  <c r="I31" i="2" s="1"/>
  <c r="E32" i="2" l="1"/>
  <c r="H32" i="2" l="1"/>
  <c r="K32" i="2"/>
  <c r="F32" i="2"/>
  <c r="D33" i="2"/>
  <c r="J32" i="2" l="1"/>
  <c r="I32" i="2"/>
  <c r="E33" i="2"/>
  <c r="J33" i="2" l="1"/>
  <c r="H33" i="2"/>
  <c r="K33" i="2"/>
  <c r="F33" i="2"/>
  <c r="I33" i="2" s="1"/>
  <c r="D34" i="2"/>
  <c r="E34" i="2" l="1"/>
  <c r="H34" i="2" l="1"/>
  <c r="J34" i="2"/>
  <c r="K34" i="2"/>
  <c r="F34" i="2"/>
  <c r="I34" i="2" s="1"/>
  <c r="D35" i="2"/>
  <c r="E35" i="2" l="1"/>
  <c r="H35" i="2" l="1"/>
  <c r="K35" i="2"/>
  <c r="D36" i="2"/>
  <c r="F35" i="2"/>
  <c r="I35" i="2" s="1"/>
  <c r="J35" i="2" l="1"/>
  <c r="E36" i="2"/>
  <c r="H36" i="2" l="1"/>
  <c r="J36" i="2"/>
  <c r="K36" i="2"/>
  <c r="D37" i="2"/>
  <c r="F36" i="2"/>
  <c r="I36" i="2" s="1"/>
  <c r="E37" i="2" l="1"/>
  <c r="H37" i="2" l="1"/>
  <c r="K37" i="2"/>
  <c r="D38" i="2"/>
  <c r="F37" i="2"/>
  <c r="I37" i="2" s="1"/>
  <c r="J37" i="2" l="1"/>
  <c r="E38" i="2"/>
  <c r="H38" i="2" l="1"/>
  <c r="J38" i="2"/>
  <c r="K38" i="2"/>
  <c r="D39" i="2"/>
  <c r="F38" i="2"/>
  <c r="I38" i="2" s="1"/>
  <c r="E39" i="2" l="1"/>
  <c r="H39" i="2" l="1"/>
  <c r="K39" i="2"/>
  <c r="D40" i="2"/>
  <c r="F39" i="2"/>
  <c r="I39" i="2" s="1"/>
  <c r="J39" i="2" l="1"/>
  <c r="E40" i="2"/>
  <c r="H40" i="2" l="1"/>
  <c r="J40" i="2"/>
  <c r="K40" i="2"/>
  <c r="D41" i="2"/>
  <c r="F40" i="2"/>
  <c r="I40" i="2" s="1"/>
  <c r="E41" i="2" l="1"/>
  <c r="H41" i="2" l="1"/>
  <c r="K41" i="2"/>
  <c r="D42" i="2"/>
  <c r="F41" i="2"/>
  <c r="I41" i="2" s="1"/>
  <c r="B5" i="13" l="1"/>
  <c r="C5" i="13" s="1"/>
  <c r="D5" i="13" s="1"/>
  <c r="E5" i="13" s="1"/>
  <c r="F5" i="13" s="1"/>
  <c r="G5" i="13" s="1"/>
  <c r="H5" i="13" s="1"/>
  <c r="I5" i="13" s="1"/>
  <c r="J5" i="13" s="1"/>
  <c r="K5" i="13" s="1"/>
  <c r="L5" i="13" s="1"/>
  <c r="M5" i="13" s="1"/>
  <c r="N5" i="13" s="1"/>
  <c r="O5" i="13" s="1"/>
  <c r="B3" i="13"/>
  <c r="J41" i="2"/>
  <c r="E42" i="2"/>
  <c r="H42" i="2"/>
  <c r="J42" i="2" l="1"/>
  <c r="K42" i="2"/>
  <c r="D43" i="2"/>
  <c r="F42" i="2"/>
  <c r="I42" i="2" s="1"/>
  <c r="B5" i="12" l="1"/>
  <c r="C5" i="12" s="1"/>
  <c r="D5" i="12" s="1"/>
  <c r="E5" i="12" s="1"/>
  <c r="F5" i="12" s="1"/>
  <c r="G5" i="12" s="1"/>
  <c r="H5" i="12" s="1"/>
  <c r="I5" i="12" s="1"/>
  <c r="J5" i="12" s="1"/>
  <c r="K5" i="12" s="1"/>
  <c r="L5" i="12" s="1"/>
  <c r="M5" i="12" s="1"/>
  <c r="N5" i="12" s="1"/>
  <c r="O5" i="12" s="1"/>
  <c r="B3" i="12"/>
  <c r="E43" i="2"/>
  <c r="H43" i="2" s="1"/>
  <c r="K43" i="2" l="1"/>
  <c r="D44" i="2"/>
  <c r="F43" i="2"/>
  <c r="I43" i="2" s="1"/>
  <c r="J43" i="2" l="1"/>
  <c r="E44" i="2"/>
  <c r="H44" i="2" l="1"/>
  <c r="J44" i="2"/>
  <c r="K44" i="2"/>
  <c r="D45" i="2"/>
  <c r="F44" i="2"/>
  <c r="I44" i="2" s="1"/>
  <c r="B3" i="15" l="1"/>
  <c r="B5" i="14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B3" i="14"/>
  <c r="B5" i="15"/>
  <c r="C5" i="15" s="1"/>
  <c r="D5" i="15" s="1"/>
  <c r="E5" i="15" s="1"/>
  <c r="F5" i="15" s="1"/>
  <c r="G5" i="15" s="1"/>
  <c r="H5" i="15" s="1"/>
  <c r="I5" i="15" s="1"/>
  <c r="J5" i="15" s="1"/>
  <c r="K5" i="15" s="1"/>
  <c r="L5" i="15" s="1"/>
  <c r="M5" i="15" s="1"/>
  <c r="N5" i="15" s="1"/>
  <c r="O5" i="15" s="1"/>
  <c r="E45" i="2"/>
  <c r="H45" i="2" l="1"/>
  <c r="K45" i="2"/>
  <c r="D46" i="2"/>
  <c r="F45" i="2"/>
  <c r="I45" i="2" s="1"/>
  <c r="J45" i="2" l="1"/>
  <c r="E46" i="2"/>
  <c r="H46" i="2" l="1"/>
  <c r="J46" i="2"/>
  <c r="K46" i="2"/>
  <c r="D47" i="2"/>
  <c r="F46" i="2"/>
  <c r="I46" i="2" s="1"/>
  <c r="E47" i="2" l="1"/>
  <c r="H47" i="2" l="1"/>
  <c r="J47" i="2"/>
  <c r="K47" i="2"/>
  <c r="D48" i="2"/>
  <c r="F47" i="2"/>
  <c r="I47" i="2" s="1"/>
  <c r="E48" i="2" l="1"/>
  <c r="H48" i="2" l="1"/>
  <c r="K48" i="2"/>
  <c r="D49" i="2"/>
  <c r="F48" i="2"/>
  <c r="I48" i="2" s="1"/>
  <c r="J48" i="2" l="1"/>
  <c r="E49" i="2"/>
  <c r="H49" i="2" l="1"/>
  <c r="J49" i="2"/>
  <c r="K49" i="2"/>
  <c r="D50" i="2"/>
  <c r="F49" i="2"/>
  <c r="I49" i="2" s="1"/>
  <c r="E50" i="2" l="1"/>
  <c r="H50" i="2" l="1"/>
  <c r="K50" i="2"/>
  <c r="D51" i="2"/>
  <c r="F50" i="2"/>
  <c r="I50" i="2" s="1"/>
  <c r="J50" i="2" l="1"/>
  <c r="E51" i="2"/>
  <c r="H51" i="2" l="1"/>
  <c r="J51" i="2"/>
  <c r="K51" i="2"/>
  <c r="D52" i="2"/>
  <c r="F51" i="2"/>
  <c r="I51" i="2" s="1"/>
  <c r="E52" i="2" l="1"/>
  <c r="H52" i="2" l="1"/>
  <c r="K52" i="2"/>
  <c r="F52" i="2"/>
  <c r="I52" i="2" s="1"/>
  <c r="D53" i="2"/>
  <c r="J52" i="2" l="1"/>
  <c r="E53" i="2"/>
  <c r="J53" i="2" l="1"/>
  <c r="H53" i="2"/>
  <c r="F53" i="2"/>
  <c r="I53" i="2" s="1"/>
  <c r="K53" i="2"/>
  <c r="D54" i="2"/>
  <c r="E54" i="2" l="1"/>
  <c r="H54" i="2" l="1"/>
  <c r="K54" i="2"/>
  <c r="F54" i="2"/>
  <c r="D55" i="2"/>
  <c r="J54" i="2" l="1"/>
  <c r="I54" i="2"/>
  <c r="E55" i="2"/>
  <c r="J55" i="2" l="1"/>
  <c r="H55" i="2"/>
  <c r="K55" i="2"/>
  <c r="F55" i="2"/>
  <c r="I55" i="2" s="1"/>
  <c r="D56" i="2"/>
  <c r="E56" i="2" l="1"/>
  <c r="H56" i="2" l="1"/>
  <c r="K56" i="2"/>
  <c r="D57" i="2"/>
  <c r="F56" i="2"/>
  <c r="I56" i="2" s="1"/>
  <c r="J56" i="2" l="1"/>
  <c r="E57" i="2"/>
  <c r="J57" i="2" l="1"/>
  <c r="H57" i="2"/>
  <c r="K57" i="2"/>
  <c r="F57" i="2"/>
  <c r="I57" i="2" s="1"/>
  <c r="D58" i="2"/>
  <c r="E58" i="2" l="1"/>
  <c r="H58" i="2" l="1"/>
  <c r="K58" i="2"/>
  <c r="D59" i="2"/>
  <c r="F58" i="2"/>
  <c r="I58" i="2" s="1"/>
  <c r="J58" i="2" l="1"/>
  <c r="E59" i="2"/>
  <c r="J59" i="2" l="1"/>
  <c r="K59" i="2"/>
  <c r="F59" i="2"/>
  <c r="I59" i="2" s="1"/>
  <c r="D60" i="2"/>
  <c r="H59" i="2"/>
  <c r="E60" i="2" l="1"/>
  <c r="J60" i="2" l="1"/>
  <c r="H60" i="2"/>
  <c r="K60" i="2"/>
  <c r="F60" i="2"/>
  <c r="I60" i="2" s="1"/>
  <c r="D61" i="2"/>
  <c r="E61" i="2" l="1"/>
  <c r="H61" i="2" l="1"/>
  <c r="K61" i="2"/>
  <c r="D62" i="2"/>
  <c r="F61" i="2"/>
  <c r="I61" i="2" s="1"/>
  <c r="J61" i="2" l="1"/>
  <c r="E62" i="2"/>
  <c r="H62" i="2" l="1"/>
  <c r="J62" i="2"/>
  <c r="K62" i="2"/>
  <c r="D63" i="2"/>
  <c r="F62" i="2"/>
  <c r="I62" i="2" s="1"/>
  <c r="E63" i="2" l="1"/>
  <c r="H63" i="2" l="1"/>
  <c r="K63" i="2"/>
  <c r="F63" i="2"/>
  <c r="D64" i="2"/>
  <c r="J63" i="2" l="1"/>
  <c r="I63" i="2"/>
  <c r="E64" i="2"/>
  <c r="H64" i="2" l="1"/>
  <c r="J64" i="2"/>
  <c r="K64" i="2"/>
  <c r="F64" i="2"/>
  <c r="I64" i="2" s="1"/>
  <c r="D65" i="2"/>
  <c r="E65" i="2" l="1"/>
  <c r="H65" i="2" l="1"/>
  <c r="K65" i="2"/>
  <c r="D66" i="2"/>
  <c r="F65" i="2"/>
  <c r="I65" i="2" s="1"/>
  <c r="J65" i="2" l="1"/>
  <c r="E66" i="2"/>
  <c r="H66" i="2" l="1"/>
  <c r="J66" i="2"/>
  <c r="K66" i="2"/>
  <c r="D67" i="2"/>
  <c r="F66" i="2"/>
  <c r="I66" i="2" s="1"/>
  <c r="E67" i="2" l="1"/>
  <c r="H67" i="2" l="1"/>
  <c r="K67" i="2"/>
  <c r="F67" i="2"/>
  <c r="D68" i="2"/>
  <c r="J67" i="2" l="1"/>
  <c r="I67" i="2"/>
  <c r="E68" i="2"/>
  <c r="J68" i="2" l="1"/>
  <c r="H68" i="2"/>
  <c r="K68" i="2"/>
  <c r="F68" i="2"/>
  <c r="I68" i="2" s="1"/>
  <c r="D69" i="2"/>
  <c r="E69" i="2" l="1"/>
  <c r="H69" i="2" l="1"/>
  <c r="K69" i="2"/>
  <c r="D70" i="2"/>
  <c r="F69" i="2"/>
  <c r="I69" i="2" s="1"/>
  <c r="J69" i="2" l="1"/>
  <c r="E70" i="2"/>
  <c r="H70" i="2" l="1"/>
  <c r="J70" i="2"/>
  <c r="K70" i="2"/>
  <c r="D71" i="2"/>
  <c r="F70" i="2"/>
  <c r="I70" i="2" s="1"/>
  <c r="E71" i="2" l="1"/>
  <c r="H71" i="2" l="1"/>
  <c r="J71" i="2"/>
  <c r="K71" i="2"/>
  <c r="F71" i="2"/>
  <c r="I71" i="2" s="1"/>
  <c r="D72" i="2"/>
  <c r="E72" i="2" l="1"/>
  <c r="H72" i="2" l="1"/>
  <c r="K72" i="2"/>
  <c r="F72" i="2"/>
  <c r="I72" i="2" s="1"/>
  <c r="D73" i="2"/>
  <c r="J72" i="2" l="1"/>
  <c r="E73" i="2"/>
  <c r="H73" i="2" l="1"/>
  <c r="J73" i="2"/>
  <c r="K73" i="2"/>
  <c r="D74" i="2"/>
  <c r="F73" i="2"/>
  <c r="I73" i="2" s="1"/>
  <c r="E74" i="2" l="1"/>
  <c r="H74" i="2" l="1"/>
  <c r="K74" i="2"/>
  <c r="D75" i="2"/>
  <c r="F74" i="2"/>
  <c r="I74" i="2" s="1"/>
  <c r="J74" i="2" l="1"/>
  <c r="E75" i="2"/>
  <c r="H75" i="2" l="1"/>
  <c r="J75" i="2"/>
  <c r="K75" i="2"/>
  <c r="D76" i="2"/>
  <c r="F75" i="2"/>
  <c r="I75" i="2" s="1"/>
  <c r="E76" i="2" l="1"/>
  <c r="H76" i="2" l="1"/>
  <c r="K76" i="2"/>
  <c r="D77" i="2"/>
  <c r="F76" i="2"/>
  <c r="I76" i="2" s="1"/>
  <c r="J76" i="2" l="1"/>
  <c r="E77" i="2"/>
  <c r="H77" i="2" l="1"/>
  <c r="J77" i="2"/>
  <c r="K77" i="2"/>
  <c r="D78" i="2"/>
  <c r="F77" i="2"/>
  <c r="I77" i="2" s="1"/>
  <c r="E78" i="2" l="1"/>
  <c r="H78" i="2" l="1"/>
  <c r="K78" i="2"/>
  <c r="D79" i="2"/>
  <c r="F78" i="2"/>
  <c r="I78" i="2" s="1"/>
  <c r="J78" i="2" l="1"/>
  <c r="E79" i="2"/>
  <c r="H79" i="2" l="1"/>
  <c r="J79" i="2"/>
  <c r="K79" i="2"/>
  <c r="D80" i="2"/>
  <c r="F79" i="2"/>
  <c r="I79" i="2" s="1"/>
  <c r="E80" i="2" l="1"/>
  <c r="H80" i="2" l="1"/>
  <c r="K80" i="2"/>
  <c r="D81" i="2"/>
  <c r="F80" i="2"/>
  <c r="I80" i="2" s="1"/>
  <c r="J80" i="2" l="1"/>
  <c r="E81" i="2"/>
  <c r="J81" i="2" l="1"/>
  <c r="H81" i="2"/>
  <c r="K81" i="2"/>
  <c r="F81" i="2"/>
  <c r="I81" i="2" s="1"/>
  <c r="D82" i="2"/>
  <c r="E82" i="2" l="1"/>
  <c r="H82" i="2" l="1"/>
  <c r="K82" i="2"/>
  <c r="D83" i="2"/>
  <c r="F82" i="2"/>
  <c r="I82" i="2" s="1"/>
  <c r="J82" i="2" l="1"/>
  <c r="E83" i="2"/>
  <c r="H83" i="2" l="1"/>
  <c r="J83" i="2"/>
  <c r="K83" i="2"/>
  <c r="D84" i="2"/>
  <c r="F83" i="2"/>
  <c r="I83" i="2" s="1"/>
  <c r="E84" i="2" l="1"/>
  <c r="H84" i="2" l="1"/>
  <c r="K84" i="2"/>
  <c r="F84" i="2"/>
  <c r="D85" i="2"/>
  <c r="J84" i="2" l="1"/>
  <c r="I84" i="2"/>
  <c r="E85" i="2"/>
  <c r="J85" i="2" l="1"/>
  <c r="H85" i="2"/>
  <c r="K85" i="2"/>
  <c r="F85" i="2"/>
  <c r="I85" i="2" s="1"/>
  <c r="D86" i="2"/>
  <c r="E86" i="2" l="1"/>
  <c r="H86" i="2" l="1"/>
  <c r="J86" i="2"/>
  <c r="K86" i="2"/>
  <c r="D87" i="2"/>
  <c r="F86" i="2"/>
  <c r="I86" i="2" s="1"/>
  <c r="E87" i="2" l="1"/>
  <c r="K87" i="2" l="1"/>
  <c r="F87" i="2"/>
  <c r="I87" i="2" s="1"/>
  <c r="D88" i="2"/>
  <c r="H87" i="2"/>
  <c r="J87" i="2" l="1"/>
  <c r="E88" i="2"/>
  <c r="H88" i="2" l="1"/>
  <c r="J88" i="2"/>
  <c r="K88" i="2"/>
  <c r="F88" i="2"/>
  <c r="I88" i="2" s="1"/>
  <c r="D89" i="2"/>
  <c r="E89" i="2" l="1"/>
  <c r="H89" i="2" l="1"/>
  <c r="K89" i="2"/>
  <c r="F89" i="2"/>
  <c r="I89" i="2" s="1"/>
  <c r="D90" i="2"/>
  <c r="J89" i="2" l="1"/>
  <c r="E90" i="2"/>
  <c r="H90" i="2" l="1"/>
  <c r="J90" i="2"/>
  <c r="K90" i="2"/>
  <c r="D91" i="2"/>
  <c r="F90" i="2"/>
  <c r="I90" i="2" s="1"/>
  <c r="E91" i="2" l="1"/>
  <c r="H91" i="2" l="1"/>
  <c r="K91" i="2"/>
  <c r="D92" i="2"/>
  <c r="F91" i="2"/>
  <c r="I91" i="2" s="1"/>
  <c r="J91" i="2" l="1"/>
  <c r="E92" i="2"/>
  <c r="H92" i="2" l="1"/>
  <c r="J92" i="2"/>
  <c r="K92" i="2"/>
  <c r="D93" i="2"/>
  <c r="F92" i="2"/>
  <c r="I92" i="2" s="1"/>
  <c r="E93" i="2" l="1"/>
  <c r="H93" i="2" l="1"/>
  <c r="K93" i="2"/>
  <c r="F93" i="2"/>
  <c r="I93" i="2" s="1"/>
  <c r="D94" i="2"/>
  <c r="J93" i="2" l="1"/>
  <c r="E94" i="2"/>
  <c r="H94" i="2" s="1"/>
  <c r="J94" i="2" l="1"/>
  <c r="K94" i="2"/>
  <c r="F94" i="2"/>
  <c r="I94" i="2" s="1"/>
  <c r="D95" i="2"/>
  <c r="E95" i="2" l="1"/>
  <c r="H95" i="2" l="1"/>
  <c r="K95" i="2"/>
  <c r="D96" i="2"/>
  <c r="F95" i="2"/>
  <c r="I95" i="2" s="1"/>
  <c r="J95" i="2" l="1"/>
  <c r="E96" i="2"/>
  <c r="H96" i="2" l="1"/>
  <c r="J96" i="2"/>
  <c r="K96" i="2"/>
  <c r="D97" i="2"/>
  <c r="F96" i="2"/>
  <c r="I96" i="2" s="1"/>
  <c r="E97" i="2" l="1"/>
  <c r="H97" i="2" l="1"/>
  <c r="J97" i="2"/>
  <c r="K97" i="2"/>
  <c r="D98" i="2"/>
  <c r="F97" i="2"/>
  <c r="I97" i="2" s="1"/>
  <c r="E98" i="2" l="1"/>
  <c r="H98" i="2" l="1"/>
  <c r="K98" i="2"/>
  <c r="D99" i="2"/>
  <c r="F98" i="2"/>
  <c r="I98" i="2" s="1"/>
  <c r="J98" i="2" l="1"/>
  <c r="E99" i="2"/>
  <c r="H99" i="2" l="1"/>
  <c r="J99" i="2"/>
  <c r="K99" i="2"/>
  <c r="D100" i="2"/>
  <c r="F99" i="2"/>
  <c r="I99" i="2" s="1"/>
  <c r="E100" i="2" l="1"/>
  <c r="H100" i="2" l="1"/>
  <c r="K100" i="2"/>
  <c r="D101" i="2"/>
  <c r="F100" i="2"/>
  <c r="I100" i="2" s="1"/>
  <c r="J100" i="2" l="1"/>
  <c r="E101" i="2"/>
  <c r="H101" i="2" l="1"/>
  <c r="J101" i="2"/>
  <c r="K101" i="2"/>
  <c r="D102" i="2"/>
  <c r="F101" i="2"/>
  <c r="I101" i="2" s="1"/>
  <c r="E102" i="2" l="1"/>
  <c r="H102" i="2" l="1"/>
  <c r="K102" i="2"/>
  <c r="F102" i="2"/>
  <c r="I102" i="2" s="1"/>
  <c r="D103" i="2"/>
  <c r="J102" i="2" l="1"/>
  <c r="E103" i="2"/>
  <c r="H103" i="2" s="1"/>
  <c r="J103" i="2" l="1"/>
  <c r="K103" i="2"/>
  <c r="D104" i="2"/>
  <c r="F103" i="2"/>
  <c r="I103" i="2" s="1"/>
  <c r="E104" i="2" l="1"/>
  <c r="H104" i="2" l="1"/>
  <c r="K104" i="2"/>
  <c r="F104" i="2"/>
  <c r="D105" i="2"/>
  <c r="J104" i="2" l="1"/>
  <c r="I104" i="2"/>
  <c r="E105" i="2"/>
  <c r="H105" i="2" l="1"/>
  <c r="J105" i="2"/>
  <c r="K105" i="2"/>
  <c r="D106" i="2"/>
  <c r="F105" i="2"/>
  <c r="I105" i="2" s="1"/>
  <c r="E106" i="2" l="1"/>
  <c r="H106" i="2" l="1"/>
  <c r="K106" i="2"/>
  <c r="F106" i="2"/>
  <c r="D107" i="2"/>
  <c r="J106" i="2" l="1"/>
  <c r="I106" i="2"/>
  <c r="E107" i="2"/>
  <c r="H107" i="2" l="1"/>
  <c r="J107" i="2"/>
  <c r="K107" i="2"/>
  <c r="D108" i="2"/>
  <c r="F107" i="2"/>
  <c r="I107" i="2" s="1"/>
  <c r="E108" i="2" l="1"/>
  <c r="H108" i="2" l="1"/>
  <c r="J108" i="2"/>
  <c r="K108" i="2"/>
  <c r="F108" i="2"/>
  <c r="I108" i="2" s="1"/>
  <c r="D109" i="2"/>
  <c r="E109" i="2" l="1"/>
  <c r="H109" i="2" l="1"/>
  <c r="K109" i="2"/>
  <c r="D110" i="2"/>
  <c r="F109" i="2"/>
  <c r="I109" i="2" s="1"/>
  <c r="J109" i="2" l="1"/>
  <c r="E110" i="2"/>
  <c r="H110" i="2" l="1"/>
  <c r="J110" i="2"/>
  <c r="K110" i="2"/>
  <c r="F110" i="2"/>
  <c r="I110" i="2" s="1"/>
  <c r="D111" i="2"/>
  <c r="E111" i="2" l="1"/>
  <c r="H111" i="2" l="1"/>
  <c r="K111" i="2"/>
  <c r="D112" i="2"/>
  <c r="F111" i="2"/>
  <c r="I111" i="2" s="1"/>
  <c r="J111" i="2" l="1"/>
  <c r="E112" i="2"/>
  <c r="H112" i="2" l="1"/>
  <c r="J112" i="2"/>
  <c r="K112" i="2"/>
  <c r="F112" i="2"/>
  <c r="I112" i="2" s="1"/>
  <c r="D113" i="2"/>
  <c r="E113" i="2" l="1"/>
  <c r="H113" i="2" l="1"/>
  <c r="K113" i="2"/>
  <c r="F113" i="2"/>
  <c r="I113" i="2" s="1"/>
  <c r="D114" i="2"/>
  <c r="J113" i="2" l="1"/>
  <c r="E114" i="2"/>
  <c r="H114" i="2" l="1"/>
  <c r="J114" i="2"/>
  <c r="K114" i="2"/>
  <c r="F114" i="2"/>
  <c r="I114" i="2" s="1"/>
  <c r="D115" i="2"/>
  <c r="E115" i="2" l="1"/>
  <c r="H115" i="2" l="1"/>
  <c r="K115" i="2"/>
  <c r="D116" i="2"/>
  <c r="F115" i="2"/>
  <c r="I115" i="2" s="1"/>
  <c r="J115" i="2" l="1"/>
  <c r="E116" i="2"/>
  <c r="H116" i="2" l="1"/>
  <c r="J116" i="2"/>
  <c r="K116" i="2"/>
  <c r="F116" i="2"/>
  <c r="I116" i="2" s="1"/>
  <c r="D117" i="2"/>
  <c r="E117" i="2" l="1"/>
  <c r="H117" i="2" l="1"/>
  <c r="K117" i="2"/>
  <c r="D118" i="2"/>
  <c r="F117" i="2"/>
  <c r="I117" i="2" s="1"/>
  <c r="J117" i="2" l="1"/>
  <c r="E118" i="2"/>
  <c r="H118" i="2" l="1"/>
  <c r="J118" i="2"/>
  <c r="K118" i="2"/>
  <c r="D119" i="2"/>
  <c r="E119" i="2" s="1"/>
  <c r="F118" i="2"/>
  <c r="I118" i="2" s="1"/>
  <c r="K119" i="2" l="1"/>
  <c r="D120" i="2"/>
  <c r="E120" i="2" s="1"/>
  <c r="F119" i="2"/>
  <c r="I119" i="2" s="1"/>
  <c r="J120" i="2" l="1"/>
  <c r="J119" i="2"/>
  <c r="F120" i="2"/>
  <c r="I120" i="2" s="1"/>
  <c r="K120" i="2"/>
  <c r="D121" i="2"/>
  <c r="E121" i="2" s="1"/>
  <c r="J121" i="2" l="1"/>
  <c r="K121" i="2"/>
  <c r="F121" i="2"/>
  <c r="I121" i="2" s="1"/>
  <c r="D122" i="2"/>
  <c r="E122" i="2" s="1"/>
  <c r="D123" i="2" l="1"/>
  <c r="E123" i="2" s="1"/>
  <c r="K122" i="2"/>
  <c r="F122" i="2"/>
  <c r="I122" i="2" s="1"/>
  <c r="J123" i="2" l="1"/>
  <c r="J122" i="2"/>
  <c r="D124" i="2"/>
  <c r="E124" i="2" s="1"/>
  <c r="K123" i="2"/>
  <c r="F123" i="2"/>
  <c r="I123" i="2" s="1"/>
  <c r="F124" i="2" l="1"/>
  <c r="I124" i="2" s="1"/>
  <c r="K124" i="2"/>
  <c r="B3" i="11" l="1"/>
  <c r="B3" i="1"/>
  <c r="B3" i="8"/>
  <c r="B3" i="9"/>
  <c r="B5" i="9"/>
  <c r="C5" i="9" s="1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B3" i="4"/>
  <c r="B3" i="6"/>
  <c r="B5" i="4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B5" i="6"/>
  <c r="C5" i="6" s="1"/>
  <c r="D5" i="6" s="1"/>
  <c r="E5" i="6" s="1"/>
  <c r="F5" i="6" s="1"/>
  <c r="G5" i="6" s="1"/>
  <c r="H5" i="6" s="1"/>
  <c r="I5" i="6" s="1"/>
  <c r="J5" i="6" s="1"/>
  <c r="K5" i="6" s="1"/>
  <c r="L5" i="6" s="1"/>
  <c r="M5" i="6" s="1"/>
  <c r="N5" i="6" s="1"/>
  <c r="O5" i="6" s="1"/>
  <c r="B5" i="8"/>
  <c r="C5" i="8" s="1"/>
  <c r="D5" i="8" s="1"/>
  <c r="E5" i="8" s="1"/>
  <c r="F5" i="8" s="1"/>
  <c r="G5" i="8" s="1"/>
  <c r="H5" i="8" s="1"/>
  <c r="I5" i="8" s="1"/>
  <c r="J5" i="8" s="1"/>
  <c r="K5" i="8" s="1"/>
  <c r="L5" i="8" s="1"/>
  <c r="M5" i="8" s="1"/>
  <c r="N5" i="8" s="1"/>
  <c r="O5" i="8" s="1"/>
  <c r="B3" i="7"/>
  <c r="B5" i="11"/>
  <c r="C5" i="11" s="1"/>
  <c r="D5" i="11" s="1"/>
  <c r="E5" i="11" s="1"/>
  <c r="F5" i="11" s="1"/>
  <c r="G5" i="11" s="1"/>
  <c r="H5" i="11" s="1"/>
  <c r="I5" i="11" s="1"/>
  <c r="J5" i="11" s="1"/>
  <c r="K5" i="11" s="1"/>
  <c r="L5" i="11" s="1"/>
  <c r="M5" i="11" s="1"/>
  <c r="N5" i="11" s="1"/>
  <c r="O5" i="11" s="1"/>
  <c r="B5" i="10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B3" i="10"/>
  <c r="B5" i="7"/>
  <c r="C5" i="7" s="1"/>
  <c r="D5" i="7" s="1"/>
  <c r="E5" i="7" s="1"/>
  <c r="F5" i="7" s="1"/>
  <c r="G5" i="7" s="1"/>
  <c r="H5" i="7" s="1"/>
  <c r="I5" i="7" s="1"/>
  <c r="J5" i="7" s="1"/>
  <c r="K5" i="7" s="1"/>
  <c r="L5" i="7" s="1"/>
  <c r="M5" i="7" s="1"/>
  <c r="N5" i="7" s="1"/>
  <c r="O5" i="7" s="1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J124" i="2"/>
</calcChain>
</file>

<file path=xl/sharedStrings.xml><?xml version="1.0" encoding="utf-8"?>
<sst xmlns="http://schemas.openxmlformats.org/spreadsheetml/2006/main" count="319" uniqueCount="70">
  <si>
    <t>Activity</t>
  </si>
  <si>
    <t>Mon</t>
  </si>
  <si>
    <t>Tue</t>
  </si>
  <si>
    <t>Wed</t>
  </si>
  <si>
    <t>Thu</t>
  </si>
  <si>
    <t>Fri</t>
  </si>
  <si>
    <t>Sat</t>
  </si>
  <si>
    <t>Sun</t>
  </si>
  <si>
    <t>Total</t>
  </si>
  <si>
    <t>Names</t>
  </si>
  <si>
    <t>Jake Bathman</t>
  </si>
  <si>
    <t>Ashleigh Foy</t>
  </si>
  <si>
    <t>Lacie Reitmeyer</t>
  </si>
  <si>
    <t>Amy Davis</t>
  </si>
  <si>
    <t>Steve Wasserman</t>
  </si>
  <si>
    <t>Payperiod:</t>
  </si>
  <si>
    <t>Activity Categories</t>
  </si>
  <si>
    <t>Administrative Work</t>
  </si>
  <si>
    <t>Volunteer Management</t>
  </si>
  <si>
    <t>Personnel Management</t>
  </si>
  <si>
    <t>Meeting (in office)</t>
  </si>
  <si>
    <t>Meeting (out of office)</t>
  </si>
  <si>
    <t>Training (attended)</t>
  </si>
  <si>
    <t>Training (conducted)</t>
  </si>
  <si>
    <t>Conference</t>
  </si>
  <si>
    <t>Conference Call or Webinar</t>
  </si>
  <si>
    <t>Inventory Management</t>
  </si>
  <si>
    <t>Time Off</t>
  </si>
  <si>
    <t>Budget or Documentation</t>
  </si>
  <si>
    <t>Research or Analysis</t>
  </si>
  <si>
    <t>Start</t>
  </si>
  <si>
    <t>End</t>
  </si>
  <si>
    <t>Periods</t>
  </si>
  <si>
    <t>Payday</t>
  </si>
  <si>
    <t>FY</t>
  </si>
  <si>
    <t>Partial</t>
  </si>
  <si>
    <t>FOM Day</t>
  </si>
  <si>
    <t>Report Month</t>
  </si>
  <si>
    <t>Total:</t>
  </si>
  <si>
    <t>Reporting Month:</t>
  </si>
  <si>
    <t>Fiscal Year:</t>
  </si>
  <si>
    <t>Period Unique</t>
  </si>
  <si>
    <t>Public Event or Outreach</t>
  </si>
  <si>
    <t>Version</t>
  </si>
  <si>
    <t>Sheets</t>
  </si>
  <si>
    <t>DefaultName</t>
  </si>
  <si>
    <t>PreSelectToday</t>
  </si>
  <si>
    <t>CurrentLog</t>
  </si>
  <si>
    <t>IT Management or Maintenance</t>
  </si>
  <si>
    <t>Incident Response</t>
  </si>
  <si>
    <t>Planning or Resource Updates</t>
  </si>
  <si>
    <t>Exercise (hosted or attended)</t>
  </si>
  <si>
    <t>Traveling</t>
  </si>
  <si>
    <t>UpdateCodeInSync</t>
  </si>
  <si>
    <t>Employee:</t>
  </si>
  <si>
    <t>Month:</t>
  </si>
  <si>
    <t>Week 1 Total</t>
  </si>
  <si>
    <t>Week 2 Total</t>
  </si>
  <si>
    <t>Week 1 Total:</t>
  </si>
  <si>
    <t>Week 2 Total:</t>
  </si>
  <si>
    <t>WorksheetName</t>
  </si>
  <si>
    <t>WorksheetExists</t>
  </si>
  <si>
    <t>PatchesInstalled</t>
  </si>
  <si>
    <t>v4.2.1</t>
  </si>
  <si>
    <t>Rebecca Drekmann</t>
  </si>
  <si>
    <t>FY14-19</t>
  </si>
  <si>
    <t>v4.2.2</t>
  </si>
  <si>
    <t>4.2</t>
  </si>
  <si>
    <t>UpdateCodeVersion</t>
  </si>
  <si>
    <t>v4.0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</si>
</sst>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m/d;@"/>
  </numFmts>
  <fonts count="10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0">
    <xf numFmtId="0" fontId="0" fillId="0" borderId="0">
      <alignment horizontal="center" vertical="center"/>
    </xf>
    <xf numFmtId="0" fontId="4" fillId="2" borderId="0" applyNumberFormat="0" applyBorder="0" applyAlignment="0" applyProtection="0"/>
    <xf numFmtId="0" fontId="3" fillId="5" borderId="1">
      <alignment horizontal="center" vertical="center"/>
    </xf>
    <xf numFmtId="0" fontId="3" fillId="4" borderId="0">
      <alignment horizontal="center"/>
    </xf>
    <xf numFmtId="0" fontId="3" fillId="3" borderId="0">
      <alignment horizontal="center"/>
    </xf>
    <xf numFmtId="0" fontId="3" fillId="0" borderId="0">
      <alignment horizontal="right" vertical="center"/>
    </xf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  <xf numFmtId="43" fontId="2" fillId="0" borderId="0" applyFont="0" applyFill="0" applyBorder="0" applyAlignment="0" applyProtection="0"/>
  </cellStyleXfs>
  <cellXfs count="27">
    <xf numFmtId="0" fontId="0" fillId="0" borderId="0" xfId="0">
      <alignment horizontal="center" vertical="center"/>
    </xf>
    <xf numFmtId="0" fontId="1" fillId="0" borderId="0" xfId="0" applyFont="1">
      <alignment horizontal="center" vertical="center"/>
    </xf>
    <xf numFmtId="0" fontId="0" fillId="0" borderId="0" xfId="0">
      <alignment horizontal="center" vertical="center"/>
    </xf>
    <xf numFmtId="0" fontId="2" fillId="0" borderId="0" xfId="0" applyFont="1">
      <alignment horizontal="center" vertical="center"/>
    </xf>
    <xf numFmtId="14" fontId="2" fillId="0" borderId="0" xfId="0" applyNumberFormat="1" applyFo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14" fontId="0" fillId="0" borderId="0" xfId="0" applyNumberFormat="1">
      <alignment horizontal="center" vertical="center"/>
    </xf>
    <xf numFmtId="14" fontId="2" fillId="0" borderId="0" xfId="0" applyNumberFormat="1" applyFont="1" applyFill="1">
      <alignment horizontal="center" vertical="center"/>
    </xf>
    <xf numFmtId="14" fontId="5" fillId="0" borderId="0" xfId="1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49" fontId="0" fillId="0" borderId="0" xfId="0" applyNumberFormat="1">
      <alignment horizontal="center" vertical="center"/>
    </xf>
    <xf numFmtId="0" fontId="3" fillId="5" borderId="1" xfId="2">
      <alignment horizontal="center" vertical="center"/>
    </xf>
    <xf numFmtId="0" fontId="3" fillId="5" borderId="1" xfId="2" applyAlignment="1">
      <alignment horizontal="right" vertical="center"/>
    </xf>
    <xf numFmtId="0" fontId="2" fillId="0" borderId="0" xfId="0" applyFont="1" applyFill="1" applyAlignment="1">
      <alignment horizontal="left"/>
    </xf>
    <xf numFmtId="0" fontId="6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3" fillId="4" borderId="0" xfId="3">
      <alignment horizontal="center"/>
    </xf>
    <xf numFmtId="0" fontId="3" fillId="3" borderId="0" xfId="4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3" fillId="0" borderId="0" xfId="0" applyFont="1">
      <alignment horizontal="center" vertical="center"/>
    </xf>
    <xf numFmtId="0" fontId="3" fillId="0" borderId="0" xfId="5">
      <alignment horizontal="right" vertical="center"/>
    </xf>
    <xf numFmtId="0" fontId="0" fillId="0" borderId="0" xfId="0" applyFont="1">
      <alignment horizontal="center" vertical="center"/>
    </xf>
    <xf numFmtId="43" fontId="0" fillId="0" borderId="0" xfId="9" applyFont="1" applyAlignment="1">
      <alignment horizontal="center" vertical="center"/>
    </xf>
  </cellXfs>
  <cellStyles count="10">
    <cellStyle name="40% - Accent1" xfId="1" builtinId="31" customBuiltin="1"/>
    <cellStyle name="ActivityName" xfId="5"/>
    <cellStyle name="Bad" xfId="7" builtinId="27" hidden="1"/>
    <cellStyle name="Calculation" xfId="2" builtinId="22" customBuiltin="1"/>
    <cellStyle name="Comma" xfId="9" builtinId="3"/>
    <cellStyle name="Good" xfId="6" builtinId="26" hidden="1"/>
    <cellStyle name="Neutral" xfId="8" builtinId="28" hidden="1"/>
    <cellStyle name="Normal" xfId="0" builtinId="0" customBuiltin="1"/>
    <cellStyle name="WkOne" xfId="3"/>
    <cellStyle name="WkTwo" xfId="4"/>
  </cellStyles>
  <dxfs count="43"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</dxfs>
  <tableStyles count="0" defaultTableStyle="TableStyleMedium2" defaultPivotStyle="PivotStyleLight16"/>
  <colors>
    <mruColors>
      <color rgb="FFE6AFF5"/>
      <color rgb="FFF5AFF2"/>
      <color rgb="FFAFF5C0"/>
      <color rgb="FFF5AFAF"/>
      <color rgb="FFF39DEF"/>
      <color rgb="FF9DF3B1"/>
      <color rgb="FFF39D9D"/>
      <color rgb="FFED7171"/>
      <color rgb="FFE84444"/>
      <color rgb="FF3D954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5</xdr:col>
          <xdr:colOff>657225</xdr:colOff>
          <xdr:row>7</xdr:row>
          <xdr:rowOff>9525</xdr:rowOff>
        </xdr:to>
        <xdr:sp macro="" textlink="">
          <xdr:nvSpPr>
            <xdr:cNvPr id="3073" name="btnNewShee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142875</xdr:rowOff>
        </xdr:from>
        <xdr:to>
          <xdr:col>5</xdr:col>
          <xdr:colOff>628650</xdr:colOff>
          <xdr:row>13</xdr:row>
          <xdr:rowOff>104775</xdr:rowOff>
        </xdr:to>
        <xdr:sp macro="" textlink="">
          <xdr:nvSpPr>
            <xdr:cNvPr id="3074" name="btnExportShee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142875</xdr:rowOff>
        </xdr:from>
        <xdr:to>
          <xdr:col>8</xdr:col>
          <xdr:colOff>495300</xdr:colOff>
          <xdr:row>13</xdr:row>
          <xdr:rowOff>104775</xdr:rowOff>
        </xdr:to>
        <xdr:sp macro="" textlink="">
          <xdr:nvSpPr>
            <xdr:cNvPr id="3076" name="btnPref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142875</xdr:rowOff>
        </xdr:from>
        <xdr:to>
          <xdr:col>11</xdr:col>
          <xdr:colOff>247650</xdr:colOff>
          <xdr:row>13</xdr:row>
          <xdr:rowOff>104775</xdr:rowOff>
        </xdr:to>
        <xdr:sp macro="" textlink="">
          <xdr:nvSpPr>
            <xdr:cNvPr id="3079" name="btnUpdateCod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11</xdr:col>
          <xdr:colOff>247650</xdr:colOff>
          <xdr:row>7</xdr:row>
          <xdr:rowOff>9525</xdr:rowOff>
        </xdr:to>
        <xdr:sp macro="" textlink="">
          <xdr:nvSpPr>
            <xdr:cNvPr id="3075" name="btnIns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14</xdr:row>
          <xdr:rowOff>123825</xdr:rowOff>
        </xdr:from>
        <xdr:to>
          <xdr:col>8</xdr:col>
          <xdr:colOff>190500</xdr:colOff>
          <xdr:row>21</xdr:row>
          <xdr:rowOff>57150</xdr:rowOff>
        </xdr:to>
        <xdr:sp macro="" textlink="">
          <xdr:nvSpPr>
            <xdr:cNvPr id="3082" name="frmBugButton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50177" name="btnAddActivity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49153" name="btnAddActivity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8913" name="btnAddActivity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9937" name="btnAddActivity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0721" name="btnAddActivity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9697" name="btnAddActivity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9217" name="btnAddActivit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9457" name="btnAddActivity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3553" name="btnAddActivity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4337" name="btnAddActivity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027" name="btnAddActivit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145" name="btnAddActivit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120" zoomScaleNormal="120" workbookViewId="0">
      <selection activeCell="C16" sqref="C16"/>
    </sheetView>
  </sheetViews>
  <sheetFormatPr defaultRowHeight="15" x14ac:dyDescent="0.2"/>
  <cols>
    <col min="1" max="16384" width="8.88671875" style="3"/>
  </cols>
  <sheetData/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6" r:id="rId4" name="btnPrefs">
          <controlPr autoLine="0" r:id="rId5">
            <anchor moveWithCells="1">
              <from>
                <xdr:col>6</xdr:col>
                <xdr:colOff>76200</xdr:colOff>
                <xdr:row>7</xdr:row>
                <xdr:rowOff>142875</xdr:rowOff>
              </from>
              <to>
                <xdr:col>8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3076" r:id="rId4" name="btnPrefs"/>
      </mc:Fallback>
    </mc:AlternateContent>
    <mc:AlternateContent xmlns:mc="http://schemas.openxmlformats.org/markup-compatibility/2006">
      <mc:Choice Requires="x14">
        <control shapeId="3075" r:id="rId6" name="btnHistory">
          <controlPr autoLine="0" r:id="rId7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11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5" r:id="rId6" name="btnHistory"/>
      </mc:Fallback>
    </mc:AlternateContent>
    <mc:AlternateContent xmlns:mc="http://schemas.openxmlformats.org/markup-compatibility/2006">
      <mc:Choice Requires="x14">
        <control shapeId="3074" r:id="rId8" name="btnExportSheet">
          <controlPr autoLine="0" r:id="rId9">
            <anchor moveWithCells="1">
              <from>
                <xdr:col>0</xdr:col>
                <xdr:colOff>257175</xdr:colOff>
                <xdr:row>7</xdr:row>
                <xdr:rowOff>142875</xdr:rowOff>
              </from>
              <to>
                <xdr:col>5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3074" r:id="rId8" name="btnExportSheet"/>
      </mc:Fallback>
    </mc:AlternateContent>
    <mc:AlternateContent xmlns:mc="http://schemas.openxmlformats.org/markup-compatibility/2006">
      <mc:Choice Requires="x14">
        <control shapeId="3073" r:id="rId10" name="btnNewSheet">
          <controlPr autoLine="0" r:id="rId11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5</xdr:col>
                <xdr:colOff>657225</xdr:colOff>
                <xdr:row>7</xdr:row>
                <xdr:rowOff>9525</xdr:rowOff>
              </to>
            </anchor>
          </controlPr>
        </control>
      </mc:Choice>
      <mc:Fallback>
        <control shapeId="3073" r:id="rId10" name="btnNewSheet"/>
      </mc:Fallback>
    </mc:AlternateContent>
    <mc:AlternateContent xmlns:mc="http://schemas.openxmlformats.org/markup-compatibility/2006">
      <mc:Choice Requires="x14">
        <control shapeId="3079" r:id="rId12" name="btnUpdateCode">
          <controlPr autoLine="0" r:id="rId13">
            <anchor moveWithCells="1">
              <from>
                <xdr:col>8</xdr:col>
                <xdr:colOff>695325</xdr:colOff>
                <xdr:row>7</xdr:row>
                <xdr:rowOff>142875</xdr:rowOff>
              </from>
              <to>
                <xdr:col>11</xdr:col>
                <xdr:colOff>247650</xdr:colOff>
                <xdr:row>13</xdr:row>
                <xdr:rowOff>104775</xdr:rowOff>
              </to>
            </anchor>
          </controlPr>
        </control>
      </mc:Choice>
      <mc:Fallback>
        <control shapeId="3079" r:id="rId12" name="btnUpdateCode"/>
      </mc:Fallback>
    </mc:AlternateContent>
    <mc:AlternateContent xmlns:mc="http://schemas.openxmlformats.org/markup-compatibility/2006">
      <mc:Choice Requires="x14">
        <control shapeId="3082" r:id="rId14" name="frmBugButton">
          <controlPr defaultSize="0" autoLine="0" r:id="rId15">
            <anchor moveWithCells="1">
              <from>
                <xdr:col>3</xdr:col>
                <xdr:colOff>504825</xdr:colOff>
                <xdr:row>14</xdr:row>
                <xdr:rowOff>123825</xdr:rowOff>
              </from>
              <to>
                <xdr:col>8</xdr:col>
                <xdr:colOff>190500</xdr:colOff>
                <xdr:row>21</xdr:row>
                <xdr:rowOff>57150</xdr:rowOff>
              </to>
            </anchor>
          </controlPr>
        </control>
      </mc:Choice>
      <mc:Fallback>
        <control shapeId="3082" r:id="rId14" name="frmBug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P8"/>
  <sheetViews>
    <sheetView workbookViewId="0">
      <selection activeCell="A29" sqref="A29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17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August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INDEX(Refs!D:D,MATCH('FY13-17'!B1 &amp; 'FY13-17'!B2,Refs!K:K,0))</f>
        <v>41491</v>
      </c>
      <c r="C5" s="12">
        <f>B5+1</f>
        <v>41492</v>
      </c>
      <c r="D5" s="12">
        <f t="shared" ref="D5:O5" si="0">C5+1</f>
        <v>41493</v>
      </c>
      <c r="E5" s="12">
        <f t="shared" si="0"/>
        <v>41494</v>
      </c>
      <c r="F5" s="12">
        <f t="shared" si="0"/>
        <v>41495</v>
      </c>
      <c r="G5" s="12">
        <f t="shared" si="0"/>
        <v>41496</v>
      </c>
      <c r="H5" s="12">
        <f t="shared" si="0"/>
        <v>41497</v>
      </c>
      <c r="I5" s="12">
        <f t="shared" si="0"/>
        <v>41498</v>
      </c>
      <c r="J5" s="12">
        <f t="shared" si="0"/>
        <v>41499</v>
      </c>
      <c r="K5" s="12">
        <f t="shared" si="0"/>
        <v>41500</v>
      </c>
      <c r="L5" s="12">
        <f t="shared" si="0"/>
        <v>41501</v>
      </c>
      <c r="M5" s="12">
        <f t="shared" si="0"/>
        <v>41502</v>
      </c>
      <c r="N5" s="12">
        <f t="shared" si="0"/>
        <v>41503</v>
      </c>
      <c r="O5" s="12">
        <f t="shared" si="0"/>
        <v>41504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017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50177" r:id="rId4" name="btnAddActivit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17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August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INDEX(Refs!D:D,MATCH('FY13-16'!B1 &amp; 'FY13-16'!B2,Refs!K:K,0))</f>
        <v>41491</v>
      </c>
      <c r="C5" s="12">
        <f>B5+1</f>
        <v>41492</v>
      </c>
      <c r="D5" s="12">
        <f t="shared" ref="D5:O5" si="0">C5+1</f>
        <v>41493</v>
      </c>
      <c r="E5" s="12">
        <f t="shared" si="0"/>
        <v>41494</v>
      </c>
      <c r="F5" s="12">
        <f t="shared" si="0"/>
        <v>41495</v>
      </c>
      <c r="G5" s="12">
        <f t="shared" si="0"/>
        <v>41496</v>
      </c>
      <c r="H5" s="12">
        <f t="shared" si="0"/>
        <v>41497</v>
      </c>
      <c r="I5" s="12">
        <f t="shared" si="0"/>
        <v>41498</v>
      </c>
      <c r="J5" s="12">
        <f t="shared" si="0"/>
        <v>41499</v>
      </c>
      <c r="K5" s="12">
        <f t="shared" si="0"/>
        <v>41500</v>
      </c>
      <c r="L5" s="12">
        <f t="shared" si="0"/>
        <v>41501</v>
      </c>
      <c r="M5" s="12">
        <f t="shared" si="0"/>
        <v>41502</v>
      </c>
      <c r="N5" s="12">
        <f t="shared" si="0"/>
        <v>41503</v>
      </c>
      <c r="O5" s="12">
        <f t="shared" si="0"/>
        <v>41504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491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49153" r:id="rId4" name="btnAddActivit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P8"/>
  <sheetViews>
    <sheetView workbookViewId="0">
      <selection activeCell="B5" sqref="B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15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July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INDEX(Refs!D:D,MATCH('FY13-15'!B1 &amp; 'FY13-15'!B2,Refs!K:K,0))</f>
        <v>41463</v>
      </c>
      <c r="C5" s="12">
        <f>B5+1</f>
        <v>41464</v>
      </c>
      <c r="D5" s="12">
        <f t="shared" ref="D5:O5" si="0">C5+1</f>
        <v>41465</v>
      </c>
      <c r="E5" s="12">
        <f t="shared" si="0"/>
        <v>41466</v>
      </c>
      <c r="F5" s="12">
        <f t="shared" si="0"/>
        <v>41467</v>
      </c>
      <c r="G5" s="12">
        <f t="shared" si="0"/>
        <v>41468</v>
      </c>
      <c r="H5" s="12">
        <f t="shared" si="0"/>
        <v>41469</v>
      </c>
      <c r="I5" s="12">
        <f t="shared" si="0"/>
        <v>41470</v>
      </c>
      <c r="J5" s="12">
        <f t="shared" si="0"/>
        <v>41471</v>
      </c>
      <c r="K5" s="12">
        <f t="shared" si="0"/>
        <v>41472</v>
      </c>
      <c r="L5" s="12">
        <f t="shared" si="0"/>
        <v>41473</v>
      </c>
      <c r="M5" s="12">
        <f t="shared" si="0"/>
        <v>41474</v>
      </c>
      <c r="N5" s="12">
        <f t="shared" si="0"/>
        <v>41475</v>
      </c>
      <c r="O5" s="12">
        <f t="shared" si="0"/>
        <v>41476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891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8913" r:id="rId4" name="btnAddActivit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P8"/>
  <sheetViews>
    <sheetView workbookViewId="0">
      <selection activeCell="C2" sqref="C2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July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INDEX(Refs!D:D,MATCH('FY13-14'!B1 &amp; 'FY13-14'!B2,Refs!K:K,0))</f>
        <v>41449</v>
      </c>
      <c r="C5" s="12">
        <f>B5+1</f>
        <v>41450</v>
      </c>
      <c r="D5" s="12">
        <f t="shared" ref="D5:O5" si="0">C5+1</f>
        <v>41451</v>
      </c>
      <c r="E5" s="12">
        <f t="shared" si="0"/>
        <v>41452</v>
      </c>
      <c r="F5" s="12">
        <f t="shared" si="0"/>
        <v>41453</v>
      </c>
      <c r="G5" s="12">
        <f t="shared" si="0"/>
        <v>41454</v>
      </c>
      <c r="H5" s="12">
        <f t="shared" si="0"/>
        <v>41455</v>
      </c>
      <c r="I5" s="12">
        <f t="shared" si="0"/>
        <v>41456</v>
      </c>
      <c r="J5" s="12">
        <f t="shared" si="0"/>
        <v>41457</v>
      </c>
      <c r="K5" s="12">
        <f t="shared" si="0"/>
        <v>41458</v>
      </c>
      <c r="L5" s="12">
        <f t="shared" si="0"/>
        <v>41459</v>
      </c>
      <c r="M5" s="12">
        <f t="shared" si="0"/>
        <v>41460</v>
      </c>
      <c r="N5" s="12">
        <f t="shared" si="0"/>
        <v>41461</v>
      </c>
      <c r="O5" s="12">
        <f t="shared" si="0"/>
        <v>41462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99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9937" r:id="rId4" name="btnAddActivit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P8"/>
  <sheetViews>
    <sheetView workbookViewId="0">
      <selection activeCell="O4" sqref="O4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February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INDEX(Refs!D:D,MATCH('FY13-04'!B1 &amp; 'FY13-04'!B2,Refs!K:K,0))</f>
        <v>41309</v>
      </c>
      <c r="C5" s="12">
        <f>B5+1</f>
        <v>41310</v>
      </c>
      <c r="D5" s="12">
        <f t="shared" ref="D5:O5" si="0">C5+1</f>
        <v>41311</v>
      </c>
      <c r="E5" s="12">
        <f t="shared" si="0"/>
        <v>41312</v>
      </c>
      <c r="F5" s="12">
        <f t="shared" si="0"/>
        <v>41313</v>
      </c>
      <c r="G5" s="12">
        <f t="shared" si="0"/>
        <v>41314</v>
      </c>
      <c r="H5" s="12">
        <f t="shared" si="0"/>
        <v>41315</v>
      </c>
      <c r="I5" s="12">
        <f t="shared" si="0"/>
        <v>41316</v>
      </c>
      <c r="J5" s="12">
        <f t="shared" si="0"/>
        <v>41317</v>
      </c>
      <c r="K5" s="12">
        <f t="shared" si="0"/>
        <v>41318</v>
      </c>
      <c r="L5" s="12">
        <f t="shared" si="0"/>
        <v>41319</v>
      </c>
      <c r="M5" s="12">
        <f t="shared" si="0"/>
        <v>41320</v>
      </c>
      <c r="N5" s="12">
        <f t="shared" si="0"/>
        <v>41321</v>
      </c>
      <c r="O5" s="12">
        <f t="shared" si="0"/>
        <v>41322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2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0721" r:id="rId4" name="btnAddActivit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30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INDEX(Refs!D:D,MATCH('FY13-30'!B1 &amp; 'FY13-30'!B2,Refs!K:K,0))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969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9697" r:id="rId4" name="btnAddActivity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T208"/>
  <sheetViews>
    <sheetView workbookViewId="0">
      <selection activeCell="E18" sqref="E18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INDEX(Refs!D:D,MATCH('FY13-21'!B1 &amp; 'FY13-21'!B2,Refs!K:K,0))</f>
        <v>41183</v>
      </c>
      <c r="C5" s="12">
        <f>B5+1</f>
        <v>41184</v>
      </c>
      <c r="D5" s="12">
        <f t="shared" ref="D5:O5" si="0">C5+1</f>
        <v>41185</v>
      </c>
      <c r="E5" s="12">
        <f t="shared" si="0"/>
        <v>41186</v>
      </c>
      <c r="F5" s="12">
        <f t="shared" si="0"/>
        <v>41187</v>
      </c>
      <c r="G5" s="12">
        <f t="shared" si="0"/>
        <v>41188</v>
      </c>
      <c r="H5" s="12">
        <f t="shared" si="0"/>
        <v>41189</v>
      </c>
      <c r="I5" s="12">
        <f t="shared" si="0"/>
        <v>41190</v>
      </c>
      <c r="J5" s="12">
        <f t="shared" si="0"/>
        <v>41191</v>
      </c>
      <c r="K5" s="12">
        <f t="shared" si="0"/>
        <v>41192</v>
      </c>
      <c r="L5" s="12">
        <f t="shared" si="0"/>
        <v>41193</v>
      </c>
      <c r="M5" s="12">
        <f t="shared" si="0"/>
        <v>41194</v>
      </c>
      <c r="N5" s="12">
        <f t="shared" si="0"/>
        <v>41195</v>
      </c>
      <c r="O5" s="12">
        <f t="shared" si="0"/>
        <v>41196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28</v>
      </c>
      <c r="B7" s="25"/>
      <c r="C7" s="25">
        <v>2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</v>
      </c>
    </row>
    <row r="8" spans="1:20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2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</v>
      </c>
    </row>
    <row r="9" spans="1:20" ht="20.25" customHeight="1" x14ac:dyDescent="0.2">
      <c r="A9"/>
      <c r="B9"/>
      <c r="C9"/>
      <c r="D9"/>
      <c r="E9"/>
      <c r="F9"/>
      <c r="G9" s="24" t="s">
        <v>58</v>
      </c>
      <c r="H9" s="14">
        <f>SUM(B8:H8)</f>
        <v>2</v>
      </c>
      <c r="I9"/>
      <c r="J9"/>
      <c r="K9"/>
      <c r="L9"/>
      <c r="M9"/>
      <c r="N9" s="24" t="s">
        <v>59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42" priority="6" operator="greaterThan">
      <formula>8</formula>
    </cfRule>
    <cfRule type="cellIs" dxfId="41" priority="7" operator="equal">
      <formula>8</formula>
    </cfRule>
  </conditionalFormatting>
  <conditionalFormatting sqref="P7">
    <cfRule type="cellIs" dxfId="40" priority="5" operator="greaterThan">
      <formula>80</formula>
    </cfRule>
  </conditionalFormatting>
  <conditionalFormatting sqref="P8">
    <cfRule type="cellIs" dxfId="39" priority="4" operator="greaterThan">
      <formula>80</formula>
    </cfRule>
    <cfRule type="cellIs" dxfId="38" priority="8" operator="equal">
      <formula>80</formula>
    </cfRule>
  </conditionalFormatting>
  <conditionalFormatting sqref="H9">
    <cfRule type="cellIs" dxfId="37" priority="3" operator="greaterThan">
      <formula>40</formula>
    </cfRule>
    <cfRule type="cellIs" dxfId="36" priority="9" operator="equal">
      <formula>40</formula>
    </cfRule>
  </conditionalFormatting>
  <conditionalFormatting sqref="O9">
    <cfRule type="cellIs" dxfId="35" priority="2" operator="greaterThan">
      <formula>40</formula>
    </cfRule>
    <cfRule type="cellIs" dxfId="34" priority="10" operator="equal">
      <formula>40</formula>
    </cfRule>
  </conditionalFormatting>
  <conditionalFormatting sqref="G8:H8 N8:O8">
    <cfRule type="cellIs" dxfId="3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21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9217" r:id="rId4" name="btnAddActivit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T213"/>
  <sheetViews>
    <sheetView workbookViewId="0">
      <selection activeCell="I7" sqref="I7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INDEX(Refs!D:D,MATCH('FY13-22'!B1 &amp; 'FY13-22'!B2,Refs!K:K,0))</f>
        <v>41197</v>
      </c>
      <c r="C5" s="12">
        <f>B5+1</f>
        <v>41198</v>
      </c>
      <c r="D5" s="12">
        <f t="shared" ref="D5:O5" si="0">C5+1</f>
        <v>41199</v>
      </c>
      <c r="E5" s="12">
        <f t="shared" si="0"/>
        <v>41200</v>
      </c>
      <c r="F5" s="12">
        <f t="shared" si="0"/>
        <v>41201</v>
      </c>
      <c r="G5" s="12">
        <f t="shared" si="0"/>
        <v>41202</v>
      </c>
      <c r="H5" s="12">
        <f t="shared" si="0"/>
        <v>41203</v>
      </c>
      <c r="I5" s="12">
        <f t="shared" si="0"/>
        <v>41204</v>
      </c>
      <c r="J5" s="12">
        <f t="shared" si="0"/>
        <v>41205</v>
      </c>
      <c r="K5" s="12">
        <f t="shared" si="0"/>
        <v>41206</v>
      </c>
      <c r="L5" s="12">
        <f t="shared" si="0"/>
        <v>41207</v>
      </c>
      <c r="M5" s="12">
        <f t="shared" si="0"/>
        <v>41208</v>
      </c>
      <c r="N5" s="12">
        <f t="shared" si="0"/>
        <v>41209</v>
      </c>
      <c r="O5" s="12">
        <f t="shared" si="0"/>
        <v>41210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17</v>
      </c>
      <c r="B7" s="25">
        <v>1</v>
      </c>
      <c r="C7" s="25">
        <v>7</v>
      </c>
      <c r="D7" s="25">
        <v>8</v>
      </c>
      <c r="E7" s="25">
        <v>7</v>
      </c>
      <c r="F7" s="25">
        <v>5</v>
      </c>
      <c r="G7" s="25"/>
      <c r="H7" s="25"/>
      <c r="I7" s="25">
        <v>12</v>
      </c>
      <c r="J7" s="25">
        <v>9</v>
      </c>
      <c r="K7" s="25">
        <v>10</v>
      </c>
      <c r="L7" s="25">
        <v>11</v>
      </c>
      <c r="M7" s="25">
        <v>3</v>
      </c>
      <c r="N7" s="25"/>
      <c r="O7" s="25"/>
      <c r="P7" s="23">
        <f t="shared" ref="P7:P12" si="1">SUM(B7:O7)</f>
        <v>73</v>
      </c>
    </row>
    <row r="8" spans="1:20" ht="20.25" customHeight="1" x14ac:dyDescent="0.2">
      <c r="A8" s="24" t="s">
        <v>24</v>
      </c>
      <c r="B8" s="25"/>
      <c r="C8" s="25">
        <v>1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 t="shared" si="1"/>
        <v>1</v>
      </c>
    </row>
    <row r="9" spans="1:20" ht="20.25" customHeight="1" x14ac:dyDescent="0.2">
      <c r="A9" s="24" t="s">
        <v>25</v>
      </c>
      <c r="B9" s="25"/>
      <c r="C9" s="25"/>
      <c r="D9" s="25"/>
      <c r="E9" s="25">
        <v>1</v>
      </c>
      <c r="F9" s="25"/>
      <c r="G9" s="25"/>
      <c r="H9" s="25"/>
      <c r="I9" s="25"/>
      <c r="J9" s="25"/>
      <c r="K9" s="25"/>
      <c r="L9" s="25"/>
      <c r="M9" s="25"/>
      <c r="N9" s="25"/>
      <c r="O9" s="25"/>
      <c r="P9" s="23">
        <f t="shared" si="1"/>
        <v>1</v>
      </c>
    </row>
    <row r="10" spans="1:20" ht="20.25" customHeight="1" x14ac:dyDescent="0.2">
      <c r="A10" s="24" t="s">
        <v>26</v>
      </c>
      <c r="B10" s="25">
        <v>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3">
        <f t="shared" si="1"/>
        <v>2</v>
      </c>
    </row>
    <row r="11" spans="1:20" ht="20.25" customHeight="1" x14ac:dyDescent="0.2">
      <c r="A11" s="24" t="s">
        <v>20</v>
      </c>
      <c r="B11" s="25">
        <v>1</v>
      </c>
      <c r="C11" s="25"/>
      <c r="D11" s="25"/>
      <c r="E11" s="25"/>
      <c r="F11" s="25">
        <v>3</v>
      </c>
      <c r="G11" s="25"/>
      <c r="H11" s="25"/>
      <c r="I11" s="25"/>
      <c r="J11" s="25"/>
      <c r="K11" s="25">
        <v>3</v>
      </c>
      <c r="L11" s="25"/>
      <c r="M11" s="25"/>
      <c r="N11" s="25"/>
      <c r="O11" s="25"/>
      <c r="P11" s="23">
        <f t="shared" si="1"/>
        <v>7</v>
      </c>
    </row>
    <row r="12" spans="1:20" ht="20.25" customHeight="1" x14ac:dyDescent="0.25">
      <c r="A12" s="7" t="s">
        <v>19</v>
      </c>
      <c r="B12" s="2">
        <v>4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5">
        <f t="shared" si="1"/>
        <v>4</v>
      </c>
    </row>
    <row r="13" spans="1:20" ht="20.25" customHeight="1" x14ac:dyDescent="0.2">
      <c r="A13" s="15" t="s">
        <v>38</v>
      </c>
      <c r="B13" s="14">
        <f>SUM(B7:B12)</f>
        <v>8</v>
      </c>
      <c r="C13" s="14">
        <f>SUM(C7:C12)</f>
        <v>8</v>
      </c>
      <c r="D13" s="14">
        <v>9</v>
      </c>
      <c r="E13" s="14">
        <f>SUM(E7:E12)</f>
        <v>8</v>
      </c>
      <c r="F13" s="14">
        <v>7</v>
      </c>
      <c r="G13" s="14">
        <f t="shared" ref="G13:P13" si="2">SUM(G7:G12)</f>
        <v>0</v>
      </c>
      <c r="H13" s="14">
        <f t="shared" si="2"/>
        <v>0</v>
      </c>
      <c r="I13" s="14">
        <f t="shared" si="2"/>
        <v>12</v>
      </c>
      <c r="J13" s="14">
        <f t="shared" si="2"/>
        <v>9</v>
      </c>
      <c r="K13" s="14">
        <f t="shared" si="2"/>
        <v>13</v>
      </c>
      <c r="L13" s="14">
        <f t="shared" si="2"/>
        <v>11</v>
      </c>
      <c r="M13" s="14">
        <f t="shared" si="2"/>
        <v>3</v>
      </c>
      <c r="N13" s="14">
        <f t="shared" si="2"/>
        <v>0</v>
      </c>
      <c r="O13" s="14">
        <f t="shared" si="2"/>
        <v>0</v>
      </c>
      <c r="P13" s="14">
        <f t="shared" si="2"/>
        <v>88</v>
      </c>
    </row>
    <row r="14" spans="1:20" ht="20.25" customHeight="1" x14ac:dyDescent="0.2">
      <c r="A14"/>
      <c r="B14"/>
      <c r="C14"/>
      <c r="D14"/>
      <c r="E14"/>
      <c r="F14"/>
      <c r="G14" s="24" t="s">
        <v>56</v>
      </c>
      <c r="H14" s="14">
        <f>SUM(B13:H13)</f>
        <v>40</v>
      </c>
      <c r="I14"/>
      <c r="J14"/>
      <c r="K14"/>
      <c r="L14"/>
      <c r="M14"/>
      <c r="N14" s="24" t="s">
        <v>57</v>
      </c>
      <c r="O14" s="14">
        <f>SUM(I13:O13)</f>
        <v>48</v>
      </c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</sheetData>
  <sortState ref="A7:P12">
    <sortCondition ref="A7:A12"/>
  </sortState>
  <dataConsolidate/>
  <conditionalFormatting sqref="G13:H13 N13:O13">
    <cfRule type="cellIs" dxfId="32" priority="1" operator="greaterThan">
      <formula>8</formula>
    </cfRule>
  </conditionalFormatting>
  <conditionalFormatting sqref="B13:F13 I13:M13">
    <cfRule type="cellIs" dxfId="31" priority="6" operator="greaterThan">
      <formula>8</formula>
    </cfRule>
    <cfRule type="cellIs" dxfId="30" priority="99" operator="equal">
      <formula>8</formula>
    </cfRule>
  </conditionalFormatting>
  <conditionalFormatting sqref="P7:P12">
    <cfRule type="cellIs" dxfId="29" priority="5" operator="greaterThan">
      <formula>80</formula>
    </cfRule>
  </conditionalFormatting>
  <conditionalFormatting sqref="P13">
    <cfRule type="cellIs" dxfId="28" priority="4" operator="greaterThan">
      <formula>80</formula>
    </cfRule>
    <cfRule type="cellIs" dxfId="27" priority="100" operator="equal">
      <formula>80</formula>
    </cfRule>
  </conditionalFormatting>
  <conditionalFormatting sqref="H14">
    <cfRule type="cellIs" dxfId="26" priority="3" operator="greaterThan">
      <formula>40</formula>
    </cfRule>
    <cfRule type="cellIs" dxfId="25" priority="101" operator="equal">
      <formula>40</formula>
    </cfRule>
  </conditionalFormatting>
  <conditionalFormatting sqref="O14">
    <cfRule type="cellIs" dxfId="24" priority="2" operator="greaterThan">
      <formula>40</formula>
    </cfRule>
    <cfRule type="cellIs" dxfId="23" priority="102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945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9457" r:id="rId4" name="btnAddActivity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T20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INDEX(Refs!D:D,MATCH('FY13-23'!B1 &amp; 'FY13-23'!B2,Refs!K:K,0))</f>
        <v>41211</v>
      </c>
      <c r="C5" s="12">
        <f>B5+1</f>
        <v>41212</v>
      </c>
      <c r="D5" s="12">
        <f t="shared" ref="D5:O5" si="0">C5+1</f>
        <v>41213</v>
      </c>
      <c r="E5" s="12">
        <f t="shared" si="0"/>
        <v>41214</v>
      </c>
      <c r="F5" s="12">
        <f t="shared" si="0"/>
        <v>41215</v>
      </c>
      <c r="G5" s="12">
        <f t="shared" si="0"/>
        <v>41216</v>
      </c>
      <c r="H5" s="12">
        <f t="shared" si="0"/>
        <v>41217</v>
      </c>
      <c r="I5" s="12">
        <f t="shared" si="0"/>
        <v>41218</v>
      </c>
      <c r="J5" s="12">
        <f t="shared" si="0"/>
        <v>41219</v>
      </c>
      <c r="K5" s="12">
        <f t="shared" si="0"/>
        <v>41220</v>
      </c>
      <c r="L5" s="12">
        <f t="shared" si="0"/>
        <v>41221</v>
      </c>
      <c r="M5" s="12">
        <f t="shared" si="0"/>
        <v>41222</v>
      </c>
      <c r="N5" s="12">
        <f t="shared" si="0"/>
        <v>41223</v>
      </c>
      <c r="O5" s="12">
        <f t="shared" si="0"/>
        <v>41224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19</v>
      </c>
      <c r="B7" s="25">
        <v>2.5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2.5</v>
      </c>
    </row>
    <row r="8" spans="1:20" ht="20.25" customHeight="1" x14ac:dyDescent="0.2">
      <c r="A8" s="15" t="s">
        <v>38</v>
      </c>
      <c r="B8" s="14">
        <f t="shared" ref="B8:P8" si="1">SUM(B7)</f>
        <v>2.5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2.5</v>
      </c>
    </row>
    <row r="9" spans="1:20" ht="20.25" customHeight="1" x14ac:dyDescent="0.2">
      <c r="A9"/>
      <c r="B9"/>
      <c r="C9"/>
      <c r="D9"/>
      <c r="E9"/>
      <c r="F9"/>
      <c r="G9" s="24" t="s">
        <v>58</v>
      </c>
      <c r="H9" s="14">
        <f>SUM(B8:H8)</f>
        <v>2.5</v>
      </c>
      <c r="I9"/>
      <c r="J9"/>
      <c r="K9"/>
      <c r="L9"/>
      <c r="M9"/>
      <c r="N9" s="24" t="s">
        <v>59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22" priority="6" operator="greaterThan">
      <formula>8</formula>
    </cfRule>
    <cfRule type="cellIs" dxfId="21" priority="7" operator="equal">
      <formula>8</formula>
    </cfRule>
  </conditionalFormatting>
  <conditionalFormatting sqref="P7">
    <cfRule type="cellIs" dxfId="20" priority="5" operator="greaterThan">
      <formula>80</formula>
    </cfRule>
  </conditionalFormatting>
  <conditionalFormatting sqref="P8">
    <cfRule type="cellIs" dxfId="19" priority="4" operator="greaterThan">
      <formula>80</formula>
    </cfRule>
    <cfRule type="cellIs" dxfId="18" priority="8" operator="equal">
      <formula>80</formula>
    </cfRule>
  </conditionalFormatting>
  <conditionalFormatting sqref="H9">
    <cfRule type="cellIs" dxfId="17" priority="3" operator="greaterThan">
      <formula>40</formula>
    </cfRule>
    <cfRule type="cellIs" dxfId="16" priority="9" operator="equal">
      <formula>40</formula>
    </cfRule>
  </conditionalFormatting>
  <conditionalFormatting sqref="O9">
    <cfRule type="cellIs" dxfId="15" priority="2" operator="greaterThan">
      <formula>40</formula>
    </cfRule>
    <cfRule type="cellIs" dxfId="14" priority="10" operator="equal">
      <formula>40</formula>
    </cfRule>
  </conditionalFormatting>
  <conditionalFormatting sqref="G8:H8 N8:O8">
    <cfRule type="cellIs" dxfId="1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35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3553" r:id="rId4" name="btnAddActivit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12"/>
  <sheetViews>
    <sheetView workbookViewId="0">
      <selection activeCell="B3" sqref="B3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INDEX(Refs!D:D,MATCH('FY13-20'!B1 &amp; 'FY13-20'!B2,Refs!K:K,0))</f>
        <v>41169</v>
      </c>
      <c r="C5" s="12">
        <f>B5+1</f>
        <v>41170</v>
      </c>
      <c r="D5" s="12">
        <f t="shared" ref="D5:O5" si="0">C5+1</f>
        <v>41171</v>
      </c>
      <c r="E5" s="12">
        <f t="shared" si="0"/>
        <v>41172</v>
      </c>
      <c r="F5" s="12">
        <f t="shared" si="0"/>
        <v>41173</v>
      </c>
      <c r="G5" s="12">
        <f t="shared" si="0"/>
        <v>41174</v>
      </c>
      <c r="H5" s="12">
        <f t="shared" si="0"/>
        <v>41175</v>
      </c>
      <c r="I5" s="12">
        <f t="shared" si="0"/>
        <v>41176</v>
      </c>
      <c r="J5" s="12">
        <f t="shared" si="0"/>
        <v>41177</v>
      </c>
      <c r="K5" s="12">
        <f t="shared" si="0"/>
        <v>41178</v>
      </c>
      <c r="L5" s="12">
        <f t="shared" si="0"/>
        <v>41179</v>
      </c>
      <c r="M5" s="12">
        <f t="shared" si="0"/>
        <v>41180</v>
      </c>
      <c r="N5" s="12">
        <f t="shared" si="0"/>
        <v>41181</v>
      </c>
      <c r="O5" s="12">
        <f t="shared" si="0"/>
        <v>41182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16" ht="20.25" customHeight="1" x14ac:dyDescent="0.25">
      <c r="A8" s="7" t="s">
        <v>24</v>
      </c>
      <c r="B8" s="21"/>
      <c r="C8" s="21">
        <v>33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5">
        <f>SUM(B8:O8)</f>
        <v>33</v>
      </c>
    </row>
    <row r="9" spans="1:16" ht="20.25" customHeight="1" x14ac:dyDescent="0.25">
      <c r="A9" s="7" t="s">
        <v>49</v>
      </c>
      <c r="B9" s="21"/>
      <c r="C9" s="21">
        <v>3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3</v>
      </c>
    </row>
    <row r="10" spans="1:16" ht="20.25" customHeight="1" x14ac:dyDescent="0.25">
      <c r="A10" s="7" t="s">
        <v>27</v>
      </c>
      <c r="B10" s="21"/>
      <c r="C10" s="21"/>
      <c r="D10" s="21">
        <v>2</v>
      </c>
      <c r="E10" s="21"/>
      <c r="F10" s="21"/>
      <c r="G10" s="21"/>
      <c r="H10" s="21"/>
      <c r="I10" s="21"/>
      <c r="J10" s="21"/>
      <c r="K10" s="21"/>
      <c r="L10" s="21"/>
      <c r="M10" s="21">
        <v>22</v>
      </c>
      <c r="N10" s="21"/>
      <c r="O10" s="21"/>
      <c r="P10" s="5">
        <f>SUM(B10:O10)</f>
        <v>24</v>
      </c>
    </row>
    <row r="11" spans="1:16" ht="20.25" customHeight="1" x14ac:dyDescent="0.25">
      <c r="A11" s="7" t="s">
        <v>23</v>
      </c>
      <c r="B11" s="21"/>
      <c r="C11" s="21"/>
      <c r="D11" s="21"/>
      <c r="E11" s="21"/>
      <c r="F11" s="21">
        <v>5</v>
      </c>
      <c r="G11" s="21"/>
      <c r="H11" s="21"/>
      <c r="I11" s="21"/>
      <c r="J11" s="21"/>
      <c r="K11" s="21"/>
      <c r="L11" s="21"/>
      <c r="M11" s="21"/>
      <c r="N11" s="21"/>
      <c r="O11" s="21"/>
      <c r="P11" s="5">
        <f>SUM(B11:O11)</f>
        <v>5</v>
      </c>
    </row>
    <row r="12" spans="1:16" ht="20.25" customHeight="1" x14ac:dyDescent="0.2">
      <c r="A12" s="15" t="s">
        <v>38</v>
      </c>
      <c r="B12" s="14">
        <f t="shared" ref="B12:P12" si="1">SUM(B7:B11)</f>
        <v>0</v>
      </c>
      <c r="C12" s="14">
        <f t="shared" si="1"/>
        <v>36</v>
      </c>
      <c r="D12" s="14">
        <f t="shared" si="1"/>
        <v>2</v>
      </c>
      <c r="E12" s="14">
        <f t="shared" si="1"/>
        <v>0</v>
      </c>
      <c r="F12" s="14">
        <f t="shared" si="1"/>
        <v>5</v>
      </c>
      <c r="G12" s="14">
        <f t="shared" si="1"/>
        <v>1</v>
      </c>
      <c r="H12" s="14">
        <f t="shared" si="1"/>
        <v>0</v>
      </c>
      <c r="I12" s="14">
        <f t="shared" si="1"/>
        <v>0</v>
      </c>
      <c r="J12" s="14">
        <f t="shared" si="1"/>
        <v>4</v>
      </c>
      <c r="K12" s="14">
        <f t="shared" si="1"/>
        <v>0</v>
      </c>
      <c r="L12" s="14">
        <f t="shared" si="1"/>
        <v>0</v>
      </c>
      <c r="M12" s="14">
        <f t="shared" si="1"/>
        <v>22</v>
      </c>
      <c r="N12" s="14">
        <f t="shared" si="1"/>
        <v>0</v>
      </c>
      <c r="O12" s="14">
        <f t="shared" si="1"/>
        <v>0</v>
      </c>
      <c r="P12" s="14">
        <f t="shared" si="1"/>
        <v>70</v>
      </c>
    </row>
  </sheetData>
  <sortState ref="A7:P11">
    <sortCondition ref="A7:A11"/>
  </sortState>
  <dataConsolidate/>
  <conditionalFormatting sqref="B12:O12">
    <cfRule type="cellIs" dxfId="12" priority="3" operator="greaterThan">
      <formula>8</formula>
    </cfRule>
  </conditionalFormatting>
  <conditionalFormatting sqref="P7:P11">
    <cfRule type="cellIs" dxfId="11" priority="2" operator="greaterThan">
      <formula>80</formula>
    </cfRule>
  </conditionalFormatting>
  <conditionalFormatting sqref="P12">
    <cfRule type="cellIs" dxfId="10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43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4337" r:id="rId4" name="btnAddActivity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11"/>
  <sheetViews>
    <sheetView workbookViewId="0">
      <selection activeCell="P11" sqref="P11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7.1093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INDEX(Refs!D:D,MATCH('FY13-19'!B1 &amp; 'FY13-19'!B2,Refs!K:K,0))</f>
        <v>41155</v>
      </c>
      <c r="C5" s="12">
        <f>B5+1</f>
        <v>41156</v>
      </c>
      <c r="D5" s="12">
        <f t="shared" ref="D5:O5" si="0">C5+1</f>
        <v>41157</v>
      </c>
      <c r="E5" s="12">
        <f t="shared" si="0"/>
        <v>41158</v>
      </c>
      <c r="F5" s="12">
        <f t="shared" si="0"/>
        <v>41159</v>
      </c>
      <c r="G5" s="12">
        <f t="shared" si="0"/>
        <v>41160</v>
      </c>
      <c r="H5" s="12">
        <f t="shared" si="0"/>
        <v>41161</v>
      </c>
      <c r="I5" s="12">
        <f t="shared" si="0"/>
        <v>41162</v>
      </c>
      <c r="J5" s="12">
        <f t="shared" si="0"/>
        <v>41163</v>
      </c>
      <c r="K5" s="12">
        <f t="shared" si="0"/>
        <v>41164</v>
      </c>
      <c r="L5" s="12">
        <f t="shared" si="0"/>
        <v>41165</v>
      </c>
      <c r="M5" s="12">
        <f t="shared" si="0"/>
        <v>41166</v>
      </c>
      <c r="N5" s="12">
        <f t="shared" si="0"/>
        <v>41167</v>
      </c>
      <c r="O5" s="12">
        <f t="shared" si="0"/>
        <v>41168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20" ht="20.25" customHeight="1" x14ac:dyDescent="0.2">
      <c r="A8" s="24" t="s">
        <v>28</v>
      </c>
      <c r="B8" s="25"/>
      <c r="C8" s="25">
        <v>3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>SUM(B8:O8)</f>
        <v>3</v>
      </c>
    </row>
    <row r="9" spans="1:20" ht="20.25" customHeight="1" x14ac:dyDescent="0.25">
      <c r="A9" s="7" t="s">
        <v>24</v>
      </c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0</v>
      </c>
    </row>
    <row r="10" spans="1:20" ht="20.25" customHeight="1" x14ac:dyDescent="0.25">
      <c r="A10" s="7" t="s">
        <v>49</v>
      </c>
      <c r="B10" s="21"/>
      <c r="C10" s="21">
        <v>3</v>
      </c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5">
        <f>SUM(B10:O10)</f>
        <v>3</v>
      </c>
    </row>
    <row r="11" spans="1:20" ht="20.25" customHeight="1" x14ac:dyDescent="0.2">
      <c r="A11" s="15" t="s">
        <v>38</v>
      </c>
      <c r="B11" s="14">
        <f t="shared" ref="B11:P11" si="1">SUM(B7:B10)</f>
        <v>0</v>
      </c>
      <c r="C11" s="14">
        <f t="shared" si="1"/>
        <v>6</v>
      </c>
      <c r="D11" s="14">
        <f t="shared" si="1"/>
        <v>0</v>
      </c>
      <c r="E11" s="14">
        <f t="shared" si="1"/>
        <v>0</v>
      </c>
      <c r="F11" s="14">
        <f t="shared" si="1"/>
        <v>0</v>
      </c>
      <c r="G11" s="14">
        <f t="shared" si="1"/>
        <v>1</v>
      </c>
      <c r="H11" s="14">
        <f t="shared" si="1"/>
        <v>0</v>
      </c>
      <c r="I11" s="14">
        <f t="shared" si="1"/>
        <v>0</v>
      </c>
      <c r="J11" s="14">
        <f t="shared" si="1"/>
        <v>4</v>
      </c>
      <c r="K11" s="14">
        <f t="shared" si="1"/>
        <v>0</v>
      </c>
      <c r="L11" s="14">
        <f t="shared" si="1"/>
        <v>0</v>
      </c>
      <c r="M11" s="14">
        <f t="shared" si="1"/>
        <v>0</v>
      </c>
      <c r="N11" s="14">
        <f t="shared" si="1"/>
        <v>0</v>
      </c>
      <c r="O11" s="14">
        <f t="shared" si="1"/>
        <v>0</v>
      </c>
      <c r="P11" s="14">
        <f t="shared" si="1"/>
        <v>11</v>
      </c>
    </row>
    <row r="12" spans="1:20" ht="20.25" customHeight="1" x14ac:dyDescent="0.2">
      <c r="A12"/>
      <c r="B12"/>
      <c r="C12"/>
      <c r="D12"/>
      <c r="E12"/>
      <c r="F12"/>
      <c r="G12" s="24" t="s">
        <v>56</v>
      </c>
      <c r="H12" s="14">
        <f>SUM(B11:H11)</f>
        <v>7</v>
      </c>
      <c r="I12"/>
      <c r="J12"/>
      <c r="K12"/>
      <c r="L12"/>
      <c r="M12"/>
      <c r="N12" s="24" t="s">
        <v>57</v>
      </c>
      <c r="O12" s="14">
        <f>SUM(I11:O11)</f>
        <v>4</v>
      </c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</sheetData>
  <sortState ref="A7:P10">
    <sortCondition ref="A7:A10"/>
  </sortState>
  <dataConsolidate/>
  <conditionalFormatting sqref="B11:F11 I11:M11">
    <cfRule type="cellIs" dxfId="9" priority="6" operator="greaterThan">
      <formula>8</formula>
    </cfRule>
    <cfRule type="cellIs" dxfId="8" priority="9" operator="equal">
      <formula>8</formula>
    </cfRule>
  </conditionalFormatting>
  <conditionalFormatting sqref="P7:P10">
    <cfRule type="cellIs" dxfId="7" priority="5" operator="greaterThan">
      <formula>80</formula>
    </cfRule>
  </conditionalFormatting>
  <conditionalFormatting sqref="P11">
    <cfRule type="cellIs" dxfId="6" priority="4" operator="greaterThan">
      <formula>80</formula>
    </cfRule>
    <cfRule type="cellIs" dxfId="5" priority="10" operator="equal">
      <formula>80</formula>
    </cfRule>
  </conditionalFormatting>
  <conditionalFormatting sqref="H12">
    <cfRule type="cellIs" dxfId="4" priority="3" operator="greaterThan">
      <formula>40</formula>
    </cfRule>
    <cfRule type="cellIs" dxfId="3" priority="11" operator="equal">
      <formula>40</formula>
    </cfRule>
  </conditionalFormatting>
  <conditionalFormatting sqref="O12">
    <cfRule type="cellIs" dxfId="2" priority="2" operator="greaterThan">
      <formula>40</formula>
    </cfRule>
    <cfRule type="cellIs" dxfId="1" priority="12" operator="equal">
      <formula>40</formula>
    </cfRule>
  </conditionalFormatting>
  <conditionalFormatting sqref="G11:H11 N11:O11">
    <cfRule type="cellIs" dxfId="0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027" r:id="rId4" name="btnAddActivity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145"/>
  <sheetViews>
    <sheetView zoomScaleNormal="100" workbookViewId="0">
      <selection activeCell="B28" sqref="B28"/>
    </sheetView>
  </sheetViews>
  <sheetFormatPr defaultRowHeight="15" x14ac:dyDescent="0.2"/>
  <cols>
    <col min="1" max="1" width="16.33203125" customWidth="1"/>
    <col min="2" max="2" width="24.109375" customWidth="1"/>
    <col min="3" max="3" width="10.88671875" customWidth="1"/>
    <col min="4" max="6" width="10.6640625" customWidth="1"/>
    <col min="7" max="7" width="5.33203125" customWidth="1"/>
    <col min="8" max="8" width="6.33203125" customWidth="1"/>
    <col min="9" max="9" width="12.21875" style="2" customWidth="1"/>
    <col min="10" max="10" width="9.109375" customWidth="1"/>
    <col min="11" max="11" width="12.77734375" customWidth="1"/>
    <col min="13" max="13" width="11.109375" customWidth="1"/>
    <col min="14" max="14" width="13.21875" bestFit="1" customWidth="1"/>
    <col min="15" max="15" width="11" bestFit="1" customWidth="1"/>
    <col min="17" max="17" width="13.21875" bestFit="1" customWidth="1"/>
    <col min="18" max="18" width="13.21875" style="2" customWidth="1"/>
    <col min="19" max="19" width="11.44140625" bestFit="1" customWidth="1"/>
    <col min="21" max="21" width="11.88671875" bestFit="1" customWidth="1"/>
    <col min="24" max="24" width="11.5546875" bestFit="1" customWidth="1"/>
    <col min="25" max="25" width="11.88671875" bestFit="1" customWidth="1"/>
  </cols>
  <sheetData>
    <row r="1" spans="1:25" x14ac:dyDescent="0.2">
      <c r="A1" s="1" t="s">
        <v>9</v>
      </c>
      <c r="B1" s="1" t="s">
        <v>16</v>
      </c>
      <c r="C1" s="1" t="s">
        <v>32</v>
      </c>
      <c r="D1" s="1" t="s">
        <v>30</v>
      </c>
      <c r="E1" s="1" t="s">
        <v>31</v>
      </c>
      <c r="F1" s="1" t="s">
        <v>33</v>
      </c>
      <c r="G1" s="1" t="s">
        <v>34</v>
      </c>
      <c r="H1" s="1" t="s">
        <v>35</v>
      </c>
      <c r="I1" s="1" t="s">
        <v>37</v>
      </c>
      <c r="J1" s="1" t="s">
        <v>36</v>
      </c>
      <c r="K1" s="1" t="s">
        <v>41</v>
      </c>
      <c r="L1" s="1" t="s">
        <v>43</v>
      </c>
      <c r="M1" s="1" t="s">
        <v>44</v>
      </c>
      <c r="N1" s="1" t="s">
        <v>45</v>
      </c>
      <c r="O1" s="1" t="s">
        <v>46</v>
      </c>
      <c r="P1" s="1" t="s">
        <v>47</v>
      </c>
      <c r="Q1" s="1" t="s">
        <v>53</v>
      </c>
      <c r="R1" s="1" t="s">
        <v>68</v>
      </c>
      <c r="S1" s="1" t="s">
        <v>62</v>
      </c>
      <c r="X1" s="1" t="s">
        <v>60</v>
      </c>
      <c r="Y1" s="1" t="s">
        <v>61</v>
      </c>
    </row>
    <row r="2" spans="1:25" x14ac:dyDescent="0.2">
      <c r="A2" s="1" t="s">
        <v>13</v>
      </c>
      <c r="B2" s="1" t="s">
        <v>17</v>
      </c>
      <c r="C2">
        <v>1</v>
      </c>
      <c r="D2" s="9">
        <v>40903</v>
      </c>
      <c r="E2" s="9">
        <f>D2+13</f>
        <v>40916</v>
      </c>
      <c r="F2" s="9">
        <f>E2+5</f>
        <v>40921</v>
      </c>
      <c r="G2" s="1">
        <f>IF(D2&lt;DATE(2012,9,1),2012,IF(D2&lt;DATE(2013,9,1),2013,IF(D2&lt;DATE(2014,9,1),2014,IF(D2&lt;DATE(2015,9,1),2015,2016))))</f>
        <v>2012</v>
      </c>
      <c r="H2" t="str">
        <f>IF(AND(D2&lt;DATE(G2,9,1),E2&gt;DATE(G2,8,31)),DATE(G2,9,1)-D2,"")</f>
        <v/>
      </c>
      <c r="I2" s="2" t="str">
        <f>CHOOSE(IF(MONTH(F2)+1=13,1,MONTH(F2)+1),"December","January","February","March","April","May","June","July","August","September","October","November")</f>
        <v>January</v>
      </c>
      <c r="J2" s="2" t="str">
        <f>CHOOSE(WEEKDAY(DATE(G2,MONTH(E2),1),2),"Mon","Tue","Wed","Thu","Fri","Sat","Sun")</f>
        <v>Sun</v>
      </c>
      <c r="K2" t="str">
        <f>G2 &amp; C2</f>
        <v>20121</v>
      </c>
      <c r="L2" s="13" t="s">
        <v>67</v>
      </c>
      <c r="M2" s="1"/>
      <c r="N2" t="s">
        <v>10</v>
      </c>
      <c r="O2" t="b">
        <v>1</v>
      </c>
      <c r="P2" t="s">
        <v>65</v>
      </c>
      <c r="Q2" s="2" t="b">
        <v>1</v>
      </c>
      <c r="R2" s="2" t="s">
        <v>69</v>
      </c>
      <c r="S2" t="s">
        <v>63</v>
      </c>
      <c r="X2" t="str">
        <f>"FY" &amp; RIGHT(G2,2) &amp; "-" &amp; IF(C2&lt;10,"0" &amp; C2,C2)</f>
        <v>FY12-01</v>
      </c>
    </row>
    <row r="3" spans="1:25" x14ac:dyDescent="0.2">
      <c r="A3" s="1" t="s">
        <v>11</v>
      </c>
      <c r="B3" s="1" t="s">
        <v>28</v>
      </c>
      <c r="C3">
        <v>2</v>
      </c>
      <c r="D3" s="9">
        <f>E2+1</f>
        <v>40917</v>
      </c>
      <c r="E3" s="9">
        <f>D3+13</f>
        <v>40930</v>
      </c>
      <c r="F3" s="9">
        <f t="shared" ref="F3:F66" si="0">E3+5</f>
        <v>40935</v>
      </c>
      <c r="G3" s="1">
        <f t="shared" ref="G3:G66" si="1">IF(D3&lt;DATE(2012,9,1),2012,IF(D3&lt;DATE(2013,9,1),2013,IF(D3&lt;DATE(2014,9,1),2014,IF(D3&lt;DATE(2015,9,1),2015,2016))))</f>
        <v>2012</v>
      </c>
      <c r="H3" s="2" t="str">
        <f>IF(AND(D3&lt;DATE(G2,9,1),E3&gt;DATE(G2,8,31)),DATE(G2,9,1)-D3,"")</f>
        <v/>
      </c>
      <c r="I3" s="2" t="str">
        <f t="shared" ref="I3:I66" si="2">CHOOSE(IF(MONTH(F3)+1=13,1,MONTH(F3)+1),"December","January","February","March","April","May","June","July","August","September","October","November")</f>
        <v>January</v>
      </c>
      <c r="J3" s="2" t="str">
        <f>IF(MONTH(E3)=MONTH(E2),"",CHOOSE(WEEKDAY(DATE(G3,MONTH(F3),1),2),"Mon","Tue","Wed","Thu","Fri","Sat","Sun"))</f>
        <v/>
      </c>
      <c r="K3" s="2" t="str">
        <f t="shared" ref="K3:K66" si="3">G3 &amp; C3</f>
        <v>20122</v>
      </c>
      <c r="M3" s="1"/>
      <c r="S3" t="s">
        <v>66</v>
      </c>
      <c r="X3" s="2" t="str">
        <f t="shared" ref="X3:X66" si="4">"FY" &amp; RIGHT(G3,2) &amp; "-" &amp; IF(C3&lt;10,"0" &amp; C3,C3)</f>
        <v>FY12-02</v>
      </c>
    </row>
    <row r="4" spans="1:25" x14ac:dyDescent="0.2">
      <c r="A4" s="1" t="s">
        <v>10</v>
      </c>
      <c r="B4" s="1" t="s">
        <v>24</v>
      </c>
      <c r="C4" s="2">
        <v>3</v>
      </c>
      <c r="D4" s="9">
        <f t="shared" ref="D4:D67" si="5">E3+1</f>
        <v>40931</v>
      </c>
      <c r="E4" s="9">
        <f t="shared" ref="E4:E67" si="6">D4+13</f>
        <v>40944</v>
      </c>
      <c r="F4" s="9">
        <f t="shared" si="0"/>
        <v>40949</v>
      </c>
      <c r="G4" s="1">
        <f t="shared" si="1"/>
        <v>2012</v>
      </c>
      <c r="H4" s="2" t="str">
        <f t="shared" ref="H4:H67" si="7">IF(AND(D4&lt;DATE(G3,9,1),E4&gt;DATE(G3,8,31)),DATE(G3,9,1)-D4,"")</f>
        <v/>
      </c>
      <c r="I4" s="2" t="str">
        <f t="shared" si="2"/>
        <v>February</v>
      </c>
      <c r="J4" s="2" t="str">
        <f t="shared" ref="J4:J67" si="8">IF(MONTH(E4)=MONTH(E3),"",CHOOSE(WEEKDAY(DATE(G4,MONTH(F4),1),2),"Mon","Tue","Wed","Thu","Fri","Sat","Sun"))</f>
        <v>Wed</v>
      </c>
      <c r="K4" s="2" t="str">
        <f t="shared" si="3"/>
        <v>20123</v>
      </c>
      <c r="M4" s="1"/>
      <c r="X4" s="2" t="str">
        <f t="shared" si="4"/>
        <v>FY12-03</v>
      </c>
    </row>
    <row r="5" spans="1:25" x14ac:dyDescent="0.2">
      <c r="A5" s="1" t="s">
        <v>12</v>
      </c>
      <c r="B5" s="1" t="s">
        <v>25</v>
      </c>
      <c r="C5" s="2">
        <v>4</v>
      </c>
      <c r="D5" s="9">
        <f t="shared" si="5"/>
        <v>40945</v>
      </c>
      <c r="E5" s="9">
        <f t="shared" si="6"/>
        <v>40958</v>
      </c>
      <c r="F5" s="9">
        <f t="shared" si="0"/>
        <v>40963</v>
      </c>
      <c r="G5" s="1">
        <f t="shared" si="1"/>
        <v>2012</v>
      </c>
      <c r="H5" s="2" t="str">
        <f t="shared" si="7"/>
        <v/>
      </c>
      <c r="I5" s="2" t="str">
        <f t="shared" si="2"/>
        <v>February</v>
      </c>
      <c r="J5" s="2" t="str">
        <f t="shared" si="8"/>
        <v/>
      </c>
      <c r="K5" s="2" t="str">
        <f t="shared" si="3"/>
        <v>20124</v>
      </c>
      <c r="L5" s="2"/>
      <c r="M5" s="1"/>
      <c r="X5" s="2" t="str">
        <f t="shared" si="4"/>
        <v>FY12-04</v>
      </c>
    </row>
    <row r="6" spans="1:25" x14ac:dyDescent="0.2">
      <c r="A6" s="1" t="s">
        <v>64</v>
      </c>
      <c r="B6" s="1" t="s">
        <v>51</v>
      </c>
      <c r="C6" s="2">
        <v>5</v>
      </c>
      <c r="D6" s="9">
        <f t="shared" si="5"/>
        <v>40959</v>
      </c>
      <c r="E6" s="9">
        <f t="shared" si="6"/>
        <v>40972</v>
      </c>
      <c r="F6" s="9">
        <f t="shared" si="0"/>
        <v>40977</v>
      </c>
      <c r="G6" s="1">
        <f t="shared" si="1"/>
        <v>2012</v>
      </c>
      <c r="H6" s="2" t="str">
        <f t="shared" si="7"/>
        <v/>
      </c>
      <c r="I6" s="2" t="str">
        <f t="shared" si="2"/>
        <v>March</v>
      </c>
      <c r="J6" s="2" t="str">
        <f t="shared" si="8"/>
        <v>Thu</v>
      </c>
      <c r="K6" s="2" t="str">
        <f t="shared" si="3"/>
        <v>20125</v>
      </c>
      <c r="L6" s="2"/>
      <c r="M6" s="1"/>
      <c r="X6" s="2" t="str">
        <f t="shared" si="4"/>
        <v>FY12-05</v>
      </c>
    </row>
    <row r="7" spans="1:25" x14ac:dyDescent="0.2">
      <c r="A7" s="1" t="s">
        <v>14</v>
      </c>
      <c r="B7" s="1" t="s">
        <v>49</v>
      </c>
      <c r="C7" s="2">
        <v>6</v>
      </c>
      <c r="D7" s="9">
        <f t="shared" si="5"/>
        <v>40973</v>
      </c>
      <c r="E7" s="9">
        <f t="shared" si="6"/>
        <v>40986</v>
      </c>
      <c r="F7" s="9">
        <f t="shared" si="0"/>
        <v>40991</v>
      </c>
      <c r="G7" s="1">
        <f t="shared" si="1"/>
        <v>2012</v>
      </c>
      <c r="H7" s="2" t="str">
        <f t="shared" si="7"/>
        <v/>
      </c>
      <c r="I7" s="2" t="str">
        <f t="shared" si="2"/>
        <v>March</v>
      </c>
      <c r="J7" s="2" t="str">
        <f t="shared" si="8"/>
        <v/>
      </c>
      <c r="K7" s="2" t="str">
        <f t="shared" si="3"/>
        <v>20126</v>
      </c>
      <c r="L7" s="2"/>
      <c r="M7" s="1"/>
      <c r="X7" s="2" t="str">
        <f t="shared" si="4"/>
        <v>FY12-06</v>
      </c>
    </row>
    <row r="8" spans="1:25" x14ac:dyDescent="0.2">
      <c r="B8" s="1" t="s">
        <v>26</v>
      </c>
      <c r="C8" s="2">
        <v>7</v>
      </c>
      <c r="D8" s="9">
        <f t="shared" si="5"/>
        <v>40987</v>
      </c>
      <c r="E8" s="9">
        <f t="shared" si="6"/>
        <v>41000</v>
      </c>
      <c r="F8" s="9">
        <f t="shared" si="0"/>
        <v>41005</v>
      </c>
      <c r="G8" s="1">
        <f t="shared" si="1"/>
        <v>2012</v>
      </c>
      <c r="H8" s="2" t="str">
        <f t="shared" si="7"/>
        <v/>
      </c>
      <c r="I8" s="2" t="str">
        <f t="shared" si="2"/>
        <v>April</v>
      </c>
      <c r="J8" s="2" t="str">
        <f t="shared" si="8"/>
        <v>Sun</v>
      </c>
      <c r="K8" s="2" t="str">
        <f t="shared" si="3"/>
        <v>20127</v>
      </c>
      <c r="L8" s="2"/>
      <c r="M8" s="1"/>
      <c r="X8" s="2" t="str">
        <f t="shared" si="4"/>
        <v>FY12-07</v>
      </c>
    </row>
    <row r="9" spans="1:25" x14ac:dyDescent="0.2">
      <c r="B9" s="1" t="s">
        <v>48</v>
      </c>
      <c r="C9" s="2">
        <v>8</v>
      </c>
      <c r="D9" s="9">
        <f t="shared" si="5"/>
        <v>41001</v>
      </c>
      <c r="E9" s="9">
        <f t="shared" si="6"/>
        <v>41014</v>
      </c>
      <c r="F9" s="9">
        <f t="shared" si="0"/>
        <v>41019</v>
      </c>
      <c r="G9" s="1">
        <f t="shared" si="1"/>
        <v>2012</v>
      </c>
      <c r="H9" s="2" t="str">
        <f t="shared" si="7"/>
        <v/>
      </c>
      <c r="I9" s="2" t="str">
        <f t="shared" si="2"/>
        <v>April</v>
      </c>
      <c r="J9" s="2" t="str">
        <f t="shared" si="8"/>
        <v/>
      </c>
      <c r="K9" s="2" t="str">
        <f t="shared" si="3"/>
        <v>20128</v>
      </c>
      <c r="L9" s="2"/>
      <c r="M9" s="1"/>
      <c r="X9" s="2" t="str">
        <f t="shared" si="4"/>
        <v>FY12-08</v>
      </c>
    </row>
    <row r="10" spans="1:25" x14ac:dyDescent="0.2">
      <c r="B10" s="1" t="s">
        <v>20</v>
      </c>
      <c r="C10" s="2">
        <v>9</v>
      </c>
      <c r="D10" s="9">
        <f t="shared" si="5"/>
        <v>41015</v>
      </c>
      <c r="E10" s="9">
        <f t="shared" si="6"/>
        <v>41028</v>
      </c>
      <c r="F10" s="9">
        <f t="shared" si="0"/>
        <v>41033</v>
      </c>
      <c r="G10" s="1">
        <f t="shared" si="1"/>
        <v>2012</v>
      </c>
      <c r="H10" s="2" t="str">
        <f t="shared" si="7"/>
        <v/>
      </c>
      <c r="I10" s="2" t="str">
        <f t="shared" si="2"/>
        <v>May</v>
      </c>
      <c r="J10" s="2" t="str">
        <f t="shared" si="8"/>
        <v/>
      </c>
      <c r="K10" s="2" t="str">
        <f t="shared" si="3"/>
        <v>20129</v>
      </c>
      <c r="L10" s="2"/>
      <c r="M10" s="1"/>
      <c r="X10" s="2" t="str">
        <f t="shared" si="4"/>
        <v>FY12-09</v>
      </c>
    </row>
    <row r="11" spans="1:25" x14ac:dyDescent="0.2">
      <c r="B11" s="1" t="s">
        <v>21</v>
      </c>
      <c r="C11" s="2">
        <v>10</v>
      </c>
      <c r="D11" s="9">
        <f t="shared" si="5"/>
        <v>41029</v>
      </c>
      <c r="E11" s="9">
        <f t="shared" si="6"/>
        <v>41042</v>
      </c>
      <c r="F11" s="9">
        <f t="shared" si="0"/>
        <v>41047</v>
      </c>
      <c r="G11" s="1">
        <f t="shared" si="1"/>
        <v>2012</v>
      </c>
      <c r="H11" s="2" t="str">
        <f t="shared" si="7"/>
        <v/>
      </c>
      <c r="I11" s="2" t="str">
        <f t="shared" si="2"/>
        <v>May</v>
      </c>
      <c r="J11" s="2" t="str">
        <f t="shared" si="8"/>
        <v>Tue</v>
      </c>
      <c r="K11" s="2" t="str">
        <f t="shared" si="3"/>
        <v>201210</v>
      </c>
      <c r="L11" s="2"/>
      <c r="M11" s="1"/>
      <c r="X11" s="2" t="str">
        <f t="shared" si="4"/>
        <v>FY12-10</v>
      </c>
    </row>
    <row r="12" spans="1:25" x14ac:dyDescent="0.2">
      <c r="B12" s="1" t="s">
        <v>19</v>
      </c>
      <c r="C12" s="2">
        <v>11</v>
      </c>
      <c r="D12" s="9">
        <f t="shared" si="5"/>
        <v>41043</v>
      </c>
      <c r="E12" s="9">
        <f t="shared" si="6"/>
        <v>41056</v>
      </c>
      <c r="F12" s="9">
        <f t="shared" si="0"/>
        <v>41061</v>
      </c>
      <c r="G12" s="1">
        <f t="shared" si="1"/>
        <v>2012</v>
      </c>
      <c r="H12" s="2" t="str">
        <f t="shared" si="7"/>
        <v/>
      </c>
      <c r="I12" s="2" t="str">
        <f t="shared" si="2"/>
        <v>June</v>
      </c>
      <c r="J12" s="2" t="str">
        <f t="shared" si="8"/>
        <v/>
      </c>
      <c r="K12" s="2" t="str">
        <f t="shared" si="3"/>
        <v>201211</v>
      </c>
      <c r="L12" s="2"/>
      <c r="M12" s="1"/>
      <c r="X12" s="2" t="str">
        <f t="shared" si="4"/>
        <v>FY12-11</v>
      </c>
    </row>
    <row r="13" spans="1:25" x14ac:dyDescent="0.2">
      <c r="B13" s="1" t="s">
        <v>50</v>
      </c>
      <c r="C13" s="2">
        <v>12</v>
      </c>
      <c r="D13" s="9">
        <f t="shared" si="5"/>
        <v>41057</v>
      </c>
      <c r="E13" s="9">
        <f t="shared" si="6"/>
        <v>41070</v>
      </c>
      <c r="F13" s="9">
        <f t="shared" si="0"/>
        <v>41075</v>
      </c>
      <c r="G13" s="1">
        <f t="shared" si="1"/>
        <v>2012</v>
      </c>
      <c r="H13" s="2" t="str">
        <f t="shared" si="7"/>
        <v/>
      </c>
      <c r="I13" s="2" t="str">
        <f t="shared" si="2"/>
        <v>June</v>
      </c>
      <c r="J13" s="2" t="str">
        <f t="shared" si="8"/>
        <v>Fri</v>
      </c>
      <c r="K13" s="2" t="str">
        <f t="shared" si="3"/>
        <v>201212</v>
      </c>
      <c r="L13" s="2"/>
      <c r="M13" s="1"/>
      <c r="X13" s="2" t="str">
        <f t="shared" si="4"/>
        <v>FY12-12</v>
      </c>
    </row>
    <row r="14" spans="1:25" x14ac:dyDescent="0.2">
      <c r="B14" s="1" t="s">
        <v>42</v>
      </c>
      <c r="C14" s="2">
        <v>13</v>
      </c>
      <c r="D14" s="9">
        <f t="shared" si="5"/>
        <v>41071</v>
      </c>
      <c r="E14" s="9">
        <f t="shared" si="6"/>
        <v>41084</v>
      </c>
      <c r="F14" s="9">
        <f t="shared" si="0"/>
        <v>41089</v>
      </c>
      <c r="G14" s="1">
        <f t="shared" si="1"/>
        <v>2012</v>
      </c>
      <c r="H14" s="2" t="str">
        <f t="shared" si="7"/>
        <v/>
      </c>
      <c r="I14" s="2" t="str">
        <f t="shared" si="2"/>
        <v>June</v>
      </c>
      <c r="J14" s="2" t="str">
        <f t="shared" si="8"/>
        <v/>
      </c>
      <c r="K14" s="2" t="str">
        <f t="shared" si="3"/>
        <v>201213</v>
      </c>
      <c r="X14" s="2" t="str">
        <f t="shared" si="4"/>
        <v>FY12-13</v>
      </c>
    </row>
    <row r="15" spans="1:25" x14ac:dyDescent="0.2">
      <c r="B15" s="1" t="s">
        <v>29</v>
      </c>
      <c r="C15" s="2">
        <v>14</v>
      </c>
      <c r="D15" s="9">
        <f t="shared" si="5"/>
        <v>41085</v>
      </c>
      <c r="E15" s="9">
        <f t="shared" si="6"/>
        <v>41098</v>
      </c>
      <c r="F15" s="9">
        <f t="shared" si="0"/>
        <v>41103</v>
      </c>
      <c r="G15" s="1">
        <f t="shared" si="1"/>
        <v>2012</v>
      </c>
      <c r="H15" s="2" t="str">
        <f t="shared" si="7"/>
        <v/>
      </c>
      <c r="I15" s="2" t="str">
        <f t="shared" si="2"/>
        <v>July</v>
      </c>
      <c r="J15" s="2" t="str">
        <f t="shared" si="8"/>
        <v>Sun</v>
      </c>
      <c r="K15" s="2" t="str">
        <f t="shared" si="3"/>
        <v>201214</v>
      </c>
      <c r="X15" s="2" t="str">
        <f t="shared" si="4"/>
        <v>FY12-14</v>
      </c>
    </row>
    <row r="16" spans="1:25" x14ac:dyDescent="0.2">
      <c r="B16" s="1" t="s">
        <v>27</v>
      </c>
      <c r="C16" s="2">
        <v>15</v>
      </c>
      <c r="D16" s="9">
        <f t="shared" si="5"/>
        <v>41099</v>
      </c>
      <c r="E16" s="9">
        <f t="shared" si="6"/>
        <v>41112</v>
      </c>
      <c r="F16" s="9">
        <f t="shared" si="0"/>
        <v>41117</v>
      </c>
      <c r="G16" s="1">
        <f t="shared" si="1"/>
        <v>2012</v>
      </c>
      <c r="H16" s="2" t="str">
        <f t="shared" si="7"/>
        <v/>
      </c>
      <c r="I16" s="2" t="str">
        <f t="shared" si="2"/>
        <v>July</v>
      </c>
      <c r="J16" s="2" t="str">
        <f t="shared" si="8"/>
        <v/>
      </c>
      <c r="K16" s="2" t="str">
        <f t="shared" si="3"/>
        <v>201215</v>
      </c>
      <c r="X16" s="2" t="str">
        <f t="shared" si="4"/>
        <v>FY12-15</v>
      </c>
    </row>
    <row r="17" spans="2:24" x14ac:dyDescent="0.2">
      <c r="B17" s="1" t="s">
        <v>22</v>
      </c>
      <c r="C17" s="2">
        <v>16</v>
      </c>
      <c r="D17" s="9">
        <f t="shared" si="5"/>
        <v>41113</v>
      </c>
      <c r="E17" s="9">
        <f t="shared" si="6"/>
        <v>41126</v>
      </c>
      <c r="F17" s="9">
        <f t="shared" si="0"/>
        <v>41131</v>
      </c>
      <c r="G17" s="1">
        <f t="shared" si="1"/>
        <v>2012</v>
      </c>
      <c r="H17" s="2" t="str">
        <f t="shared" si="7"/>
        <v/>
      </c>
      <c r="I17" s="2" t="str">
        <f t="shared" si="2"/>
        <v>August</v>
      </c>
      <c r="J17" s="2" t="str">
        <f t="shared" si="8"/>
        <v>Wed</v>
      </c>
      <c r="K17" s="2" t="str">
        <f t="shared" si="3"/>
        <v>201216</v>
      </c>
      <c r="X17" s="2" t="str">
        <f t="shared" si="4"/>
        <v>FY12-16</v>
      </c>
    </row>
    <row r="18" spans="2:24" x14ac:dyDescent="0.2">
      <c r="B18" s="1" t="s">
        <v>23</v>
      </c>
      <c r="C18" s="2">
        <v>17</v>
      </c>
      <c r="D18" s="9">
        <f t="shared" si="5"/>
        <v>41127</v>
      </c>
      <c r="E18" s="9">
        <f t="shared" si="6"/>
        <v>41140</v>
      </c>
      <c r="F18" s="9">
        <f t="shared" si="0"/>
        <v>41145</v>
      </c>
      <c r="G18" s="1">
        <f t="shared" si="1"/>
        <v>2012</v>
      </c>
      <c r="H18" s="2" t="str">
        <f t="shared" si="7"/>
        <v/>
      </c>
      <c r="I18" s="2" t="str">
        <f t="shared" si="2"/>
        <v>August</v>
      </c>
      <c r="J18" s="2" t="str">
        <f t="shared" si="8"/>
        <v/>
      </c>
      <c r="K18" s="2" t="str">
        <f t="shared" si="3"/>
        <v>201217</v>
      </c>
      <c r="X18" s="2" t="str">
        <f t="shared" si="4"/>
        <v>FY12-17</v>
      </c>
    </row>
    <row r="19" spans="2:24" x14ac:dyDescent="0.2">
      <c r="B19" s="1" t="s">
        <v>52</v>
      </c>
      <c r="C19" s="2">
        <v>18</v>
      </c>
      <c r="D19" s="9">
        <f t="shared" si="5"/>
        <v>41141</v>
      </c>
      <c r="E19" s="9">
        <f t="shared" si="6"/>
        <v>41154</v>
      </c>
      <c r="F19" s="9">
        <f t="shared" si="0"/>
        <v>41159</v>
      </c>
      <c r="G19" s="1">
        <f t="shared" si="1"/>
        <v>2012</v>
      </c>
      <c r="H19" s="2">
        <f t="shared" si="7"/>
        <v>12</v>
      </c>
      <c r="I19" s="2" t="str">
        <f t="shared" si="2"/>
        <v>September</v>
      </c>
      <c r="J19" s="2" t="str">
        <f t="shared" si="8"/>
        <v>Sat</v>
      </c>
      <c r="K19" s="2" t="str">
        <f t="shared" si="3"/>
        <v>201218</v>
      </c>
      <c r="X19" s="2" t="str">
        <f t="shared" si="4"/>
        <v>FY12-18</v>
      </c>
    </row>
    <row r="20" spans="2:24" x14ac:dyDescent="0.2">
      <c r="B20" s="1" t="s">
        <v>18</v>
      </c>
      <c r="C20" s="2">
        <v>19</v>
      </c>
      <c r="D20" s="9">
        <f t="shared" si="5"/>
        <v>41155</v>
      </c>
      <c r="E20" s="9">
        <f t="shared" si="6"/>
        <v>41168</v>
      </c>
      <c r="F20" s="9">
        <f t="shared" si="0"/>
        <v>41173</v>
      </c>
      <c r="G20" s="1">
        <f t="shared" si="1"/>
        <v>2013</v>
      </c>
      <c r="H20" s="2" t="str">
        <f t="shared" si="7"/>
        <v/>
      </c>
      <c r="I20" s="2" t="str">
        <f t="shared" si="2"/>
        <v>September</v>
      </c>
      <c r="J20" s="2" t="str">
        <f t="shared" si="8"/>
        <v/>
      </c>
      <c r="K20" s="2" t="str">
        <f t="shared" si="3"/>
        <v>201319</v>
      </c>
      <c r="X20" s="2" t="str">
        <f t="shared" si="4"/>
        <v>FY13-19</v>
      </c>
    </row>
    <row r="21" spans="2:24" x14ac:dyDescent="0.2">
      <c r="C21" s="2">
        <v>20</v>
      </c>
      <c r="D21" s="9">
        <f t="shared" si="5"/>
        <v>41169</v>
      </c>
      <c r="E21" s="9">
        <f t="shared" si="6"/>
        <v>41182</v>
      </c>
      <c r="F21" s="9">
        <f t="shared" si="0"/>
        <v>41187</v>
      </c>
      <c r="G21" s="1">
        <f t="shared" si="1"/>
        <v>2013</v>
      </c>
      <c r="H21" s="2" t="str">
        <f t="shared" si="7"/>
        <v/>
      </c>
      <c r="I21" s="2" t="str">
        <f t="shared" si="2"/>
        <v>October</v>
      </c>
      <c r="J21" s="2" t="str">
        <f t="shared" si="8"/>
        <v/>
      </c>
      <c r="K21" s="2" t="str">
        <f t="shared" si="3"/>
        <v>201320</v>
      </c>
      <c r="X21" s="2" t="str">
        <f t="shared" si="4"/>
        <v>FY13-20</v>
      </c>
    </row>
    <row r="22" spans="2:24" x14ac:dyDescent="0.2">
      <c r="C22" s="2">
        <v>21</v>
      </c>
      <c r="D22" s="9">
        <f t="shared" si="5"/>
        <v>41183</v>
      </c>
      <c r="E22" s="9">
        <f t="shared" si="6"/>
        <v>41196</v>
      </c>
      <c r="F22" s="9">
        <f t="shared" si="0"/>
        <v>41201</v>
      </c>
      <c r="G22" s="1">
        <f t="shared" si="1"/>
        <v>2013</v>
      </c>
      <c r="H22" s="2" t="str">
        <f t="shared" si="7"/>
        <v/>
      </c>
      <c r="I22" s="2" t="str">
        <f t="shared" si="2"/>
        <v>October</v>
      </c>
      <c r="J22" s="2" t="str">
        <f t="shared" si="8"/>
        <v>Tue</v>
      </c>
      <c r="K22" s="2" t="str">
        <f t="shared" si="3"/>
        <v>201321</v>
      </c>
      <c r="X22" s="2" t="str">
        <f t="shared" si="4"/>
        <v>FY13-21</v>
      </c>
    </row>
    <row r="23" spans="2:24" x14ac:dyDescent="0.2">
      <c r="C23" s="2">
        <v>22</v>
      </c>
      <c r="D23" s="9">
        <f t="shared" si="5"/>
        <v>41197</v>
      </c>
      <c r="E23" s="9">
        <f t="shared" si="6"/>
        <v>41210</v>
      </c>
      <c r="F23" s="9">
        <f t="shared" si="0"/>
        <v>41215</v>
      </c>
      <c r="G23" s="1">
        <f t="shared" si="1"/>
        <v>2013</v>
      </c>
      <c r="H23" s="2" t="str">
        <f t="shared" si="7"/>
        <v/>
      </c>
      <c r="I23" s="2" t="str">
        <f t="shared" si="2"/>
        <v>November</v>
      </c>
      <c r="J23" s="2" t="str">
        <f t="shared" si="8"/>
        <v/>
      </c>
      <c r="K23" s="2" t="str">
        <f t="shared" si="3"/>
        <v>201322</v>
      </c>
      <c r="X23" s="2" t="str">
        <f t="shared" si="4"/>
        <v>FY13-22</v>
      </c>
    </row>
    <row r="24" spans="2:24" x14ac:dyDescent="0.2">
      <c r="C24" s="2">
        <v>23</v>
      </c>
      <c r="D24" s="9">
        <f t="shared" si="5"/>
        <v>41211</v>
      </c>
      <c r="E24" s="9">
        <f t="shared" si="6"/>
        <v>41224</v>
      </c>
      <c r="F24" s="9">
        <f t="shared" si="0"/>
        <v>41229</v>
      </c>
      <c r="G24" s="1">
        <f t="shared" si="1"/>
        <v>2013</v>
      </c>
      <c r="H24" s="2" t="str">
        <f t="shared" si="7"/>
        <v/>
      </c>
      <c r="I24" s="2" t="str">
        <f t="shared" si="2"/>
        <v>November</v>
      </c>
      <c r="J24" s="2" t="str">
        <f t="shared" si="8"/>
        <v>Fri</v>
      </c>
      <c r="K24" s="2" t="str">
        <f t="shared" si="3"/>
        <v>201323</v>
      </c>
      <c r="X24" s="2" t="str">
        <f t="shared" si="4"/>
        <v>FY13-23</v>
      </c>
    </row>
    <row r="25" spans="2:24" x14ac:dyDescent="0.2">
      <c r="C25" s="2">
        <v>24</v>
      </c>
      <c r="D25" s="9">
        <f t="shared" si="5"/>
        <v>41225</v>
      </c>
      <c r="E25" s="9">
        <f t="shared" si="6"/>
        <v>41238</v>
      </c>
      <c r="F25" s="9">
        <f t="shared" si="0"/>
        <v>41243</v>
      </c>
      <c r="G25" s="1">
        <f t="shared" si="1"/>
        <v>2013</v>
      </c>
      <c r="H25" s="2" t="str">
        <f t="shared" si="7"/>
        <v/>
      </c>
      <c r="I25" s="2" t="str">
        <f t="shared" si="2"/>
        <v>November</v>
      </c>
      <c r="J25" s="2" t="str">
        <f t="shared" si="8"/>
        <v/>
      </c>
      <c r="K25" s="2" t="str">
        <f t="shared" si="3"/>
        <v>201324</v>
      </c>
      <c r="X25" s="2" t="str">
        <f t="shared" si="4"/>
        <v>FY13-24</v>
      </c>
    </row>
    <row r="26" spans="2:24" x14ac:dyDescent="0.2">
      <c r="C26" s="2">
        <v>25</v>
      </c>
      <c r="D26" s="9">
        <f t="shared" si="5"/>
        <v>41239</v>
      </c>
      <c r="E26" s="9">
        <f t="shared" si="6"/>
        <v>41252</v>
      </c>
      <c r="F26" s="9">
        <f t="shared" si="0"/>
        <v>41257</v>
      </c>
      <c r="G26" s="1">
        <f t="shared" si="1"/>
        <v>2013</v>
      </c>
      <c r="H26" s="2" t="str">
        <f t="shared" si="7"/>
        <v/>
      </c>
      <c r="I26" s="2" t="str">
        <f t="shared" si="2"/>
        <v>December</v>
      </c>
      <c r="J26" s="2" t="str">
        <f t="shared" si="8"/>
        <v>Sun</v>
      </c>
      <c r="K26" s="2" t="str">
        <f t="shared" si="3"/>
        <v>201325</v>
      </c>
      <c r="X26" s="2" t="str">
        <f t="shared" si="4"/>
        <v>FY13-25</v>
      </c>
    </row>
    <row r="27" spans="2:24" x14ac:dyDescent="0.2">
      <c r="C27" s="2">
        <v>26</v>
      </c>
      <c r="D27" s="9">
        <f t="shared" si="5"/>
        <v>41253</v>
      </c>
      <c r="E27" s="9">
        <f t="shared" si="6"/>
        <v>41266</v>
      </c>
      <c r="F27" s="9">
        <f t="shared" si="0"/>
        <v>41271</v>
      </c>
      <c r="G27" s="1">
        <f t="shared" si="1"/>
        <v>2013</v>
      </c>
      <c r="H27" s="2" t="str">
        <f t="shared" si="7"/>
        <v/>
      </c>
      <c r="I27" s="2" t="str">
        <f t="shared" si="2"/>
        <v>December</v>
      </c>
      <c r="J27" s="2" t="str">
        <f t="shared" si="8"/>
        <v/>
      </c>
      <c r="K27" s="2" t="str">
        <f t="shared" si="3"/>
        <v>201326</v>
      </c>
      <c r="X27" s="2" t="str">
        <f t="shared" si="4"/>
        <v>FY13-26</v>
      </c>
    </row>
    <row r="28" spans="2:24" x14ac:dyDescent="0.2">
      <c r="C28" s="2">
        <v>1</v>
      </c>
      <c r="D28" s="9">
        <f t="shared" si="5"/>
        <v>41267</v>
      </c>
      <c r="E28" s="9">
        <f t="shared" si="6"/>
        <v>41280</v>
      </c>
      <c r="F28" s="9">
        <f t="shared" si="0"/>
        <v>41285</v>
      </c>
      <c r="G28" s="1">
        <f t="shared" si="1"/>
        <v>2013</v>
      </c>
      <c r="H28" s="2" t="str">
        <f t="shared" si="7"/>
        <v/>
      </c>
      <c r="I28" s="2" t="str">
        <f t="shared" si="2"/>
        <v>January</v>
      </c>
      <c r="J28" s="2" t="str">
        <f t="shared" si="8"/>
        <v>Tue</v>
      </c>
      <c r="K28" s="2" t="str">
        <f t="shared" si="3"/>
        <v>20131</v>
      </c>
      <c r="X28" s="2" t="str">
        <f t="shared" si="4"/>
        <v>FY13-01</v>
      </c>
    </row>
    <row r="29" spans="2:24" x14ac:dyDescent="0.2">
      <c r="C29" s="2">
        <v>2</v>
      </c>
      <c r="D29" s="9">
        <f t="shared" si="5"/>
        <v>41281</v>
      </c>
      <c r="E29" s="9">
        <f t="shared" si="6"/>
        <v>41294</v>
      </c>
      <c r="F29" s="9">
        <f t="shared" si="0"/>
        <v>41299</v>
      </c>
      <c r="G29" s="1">
        <f t="shared" si="1"/>
        <v>2013</v>
      </c>
      <c r="H29" s="2" t="str">
        <f t="shared" si="7"/>
        <v/>
      </c>
      <c r="I29" s="2" t="str">
        <f t="shared" si="2"/>
        <v>January</v>
      </c>
      <c r="J29" s="2" t="str">
        <f t="shared" si="8"/>
        <v/>
      </c>
      <c r="K29" s="2" t="str">
        <f t="shared" si="3"/>
        <v>20132</v>
      </c>
      <c r="X29" s="2" t="str">
        <f t="shared" si="4"/>
        <v>FY13-02</v>
      </c>
    </row>
    <row r="30" spans="2:24" x14ac:dyDescent="0.2">
      <c r="C30" s="2">
        <v>3</v>
      </c>
      <c r="D30" s="9">
        <f t="shared" si="5"/>
        <v>41295</v>
      </c>
      <c r="E30" s="9">
        <f t="shared" si="6"/>
        <v>41308</v>
      </c>
      <c r="F30" s="9">
        <f t="shared" si="0"/>
        <v>41313</v>
      </c>
      <c r="G30" s="1">
        <f t="shared" si="1"/>
        <v>2013</v>
      </c>
      <c r="H30" s="2" t="str">
        <f t="shared" si="7"/>
        <v/>
      </c>
      <c r="I30" s="2" t="str">
        <f t="shared" si="2"/>
        <v>February</v>
      </c>
      <c r="J30" s="2" t="str">
        <f t="shared" si="8"/>
        <v>Fri</v>
      </c>
      <c r="K30" s="2" t="str">
        <f t="shared" si="3"/>
        <v>20133</v>
      </c>
      <c r="X30" s="2" t="str">
        <f t="shared" si="4"/>
        <v>FY13-03</v>
      </c>
    </row>
    <row r="31" spans="2:24" x14ac:dyDescent="0.2">
      <c r="C31" s="2">
        <v>4</v>
      </c>
      <c r="D31" s="9">
        <f t="shared" si="5"/>
        <v>41309</v>
      </c>
      <c r="E31" s="9">
        <f t="shared" si="6"/>
        <v>41322</v>
      </c>
      <c r="F31" s="9">
        <f t="shared" si="0"/>
        <v>41327</v>
      </c>
      <c r="G31" s="1">
        <f t="shared" si="1"/>
        <v>2013</v>
      </c>
      <c r="H31" s="2" t="str">
        <f t="shared" si="7"/>
        <v/>
      </c>
      <c r="I31" s="2" t="str">
        <f t="shared" si="2"/>
        <v>February</v>
      </c>
      <c r="J31" s="2" t="str">
        <f t="shared" si="8"/>
        <v/>
      </c>
      <c r="K31" s="2" t="str">
        <f t="shared" si="3"/>
        <v>20134</v>
      </c>
      <c r="X31" s="2" t="str">
        <f t="shared" si="4"/>
        <v>FY13-04</v>
      </c>
    </row>
    <row r="32" spans="2:24" x14ac:dyDescent="0.2">
      <c r="C32" s="2">
        <v>5</v>
      </c>
      <c r="D32" s="9">
        <f t="shared" si="5"/>
        <v>41323</v>
      </c>
      <c r="E32" s="9">
        <f t="shared" si="6"/>
        <v>41336</v>
      </c>
      <c r="F32" s="9">
        <f t="shared" si="0"/>
        <v>41341</v>
      </c>
      <c r="G32" s="1">
        <f t="shared" si="1"/>
        <v>2013</v>
      </c>
      <c r="H32" s="2" t="str">
        <f t="shared" si="7"/>
        <v/>
      </c>
      <c r="I32" s="2" t="str">
        <f t="shared" si="2"/>
        <v>March</v>
      </c>
      <c r="J32" s="2" t="str">
        <f t="shared" si="8"/>
        <v>Fri</v>
      </c>
      <c r="K32" s="2" t="str">
        <f t="shared" si="3"/>
        <v>20135</v>
      </c>
      <c r="X32" s="2" t="str">
        <f t="shared" si="4"/>
        <v>FY13-05</v>
      </c>
    </row>
    <row r="33" spans="3:24" x14ac:dyDescent="0.2">
      <c r="C33" s="2">
        <v>6</v>
      </c>
      <c r="D33" s="9">
        <f t="shared" si="5"/>
        <v>41337</v>
      </c>
      <c r="E33" s="9">
        <f t="shared" si="6"/>
        <v>41350</v>
      </c>
      <c r="F33" s="9">
        <f t="shared" si="0"/>
        <v>41355</v>
      </c>
      <c r="G33" s="1">
        <f t="shared" si="1"/>
        <v>2013</v>
      </c>
      <c r="H33" s="2" t="str">
        <f t="shared" si="7"/>
        <v/>
      </c>
      <c r="I33" s="2" t="str">
        <f t="shared" si="2"/>
        <v>March</v>
      </c>
      <c r="J33" s="2" t="str">
        <f t="shared" si="8"/>
        <v/>
      </c>
      <c r="K33" s="2" t="str">
        <f t="shared" si="3"/>
        <v>20136</v>
      </c>
      <c r="X33" s="2" t="str">
        <f t="shared" si="4"/>
        <v>FY13-06</v>
      </c>
    </row>
    <row r="34" spans="3:24" x14ac:dyDescent="0.2">
      <c r="C34" s="2">
        <v>7</v>
      </c>
      <c r="D34" s="9">
        <f t="shared" si="5"/>
        <v>41351</v>
      </c>
      <c r="E34" s="9">
        <f t="shared" si="6"/>
        <v>41364</v>
      </c>
      <c r="F34" s="9">
        <f t="shared" si="0"/>
        <v>41369</v>
      </c>
      <c r="G34" s="1">
        <f t="shared" si="1"/>
        <v>2013</v>
      </c>
      <c r="H34" s="2" t="str">
        <f t="shared" si="7"/>
        <v/>
      </c>
      <c r="I34" s="2" t="str">
        <f t="shared" si="2"/>
        <v>April</v>
      </c>
      <c r="J34" s="2" t="str">
        <f t="shared" si="8"/>
        <v/>
      </c>
      <c r="K34" s="2" t="str">
        <f t="shared" si="3"/>
        <v>20137</v>
      </c>
      <c r="X34" s="2" t="str">
        <f t="shared" si="4"/>
        <v>FY13-07</v>
      </c>
    </row>
    <row r="35" spans="3:24" x14ac:dyDescent="0.2">
      <c r="C35" s="2">
        <v>8</v>
      </c>
      <c r="D35" s="9">
        <f t="shared" si="5"/>
        <v>41365</v>
      </c>
      <c r="E35" s="9">
        <f t="shared" si="6"/>
        <v>41378</v>
      </c>
      <c r="F35" s="9">
        <f t="shared" si="0"/>
        <v>41383</v>
      </c>
      <c r="G35" s="1">
        <f t="shared" si="1"/>
        <v>2013</v>
      </c>
      <c r="H35" s="2" t="str">
        <f t="shared" si="7"/>
        <v/>
      </c>
      <c r="I35" s="2" t="str">
        <f t="shared" si="2"/>
        <v>April</v>
      </c>
      <c r="J35" s="2" t="str">
        <f t="shared" si="8"/>
        <v>Mon</v>
      </c>
      <c r="K35" s="2" t="str">
        <f t="shared" si="3"/>
        <v>20138</v>
      </c>
      <c r="X35" s="2" t="str">
        <f t="shared" si="4"/>
        <v>FY13-08</v>
      </c>
    </row>
    <row r="36" spans="3:24" x14ac:dyDescent="0.2">
      <c r="C36" s="2">
        <v>9</v>
      </c>
      <c r="D36" s="9">
        <f t="shared" si="5"/>
        <v>41379</v>
      </c>
      <c r="E36" s="9">
        <f t="shared" si="6"/>
        <v>41392</v>
      </c>
      <c r="F36" s="9">
        <f t="shared" si="0"/>
        <v>41397</v>
      </c>
      <c r="G36" s="1">
        <f t="shared" si="1"/>
        <v>2013</v>
      </c>
      <c r="H36" s="2" t="str">
        <f t="shared" si="7"/>
        <v/>
      </c>
      <c r="I36" s="2" t="str">
        <f t="shared" si="2"/>
        <v>May</v>
      </c>
      <c r="J36" s="2" t="str">
        <f t="shared" si="8"/>
        <v/>
      </c>
      <c r="K36" s="2" t="str">
        <f t="shared" si="3"/>
        <v>20139</v>
      </c>
      <c r="X36" s="2" t="str">
        <f t="shared" si="4"/>
        <v>FY13-09</v>
      </c>
    </row>
    <row r="37" spans="3:24" x14ac:dyDescent="0.2">
      <c r="C37" s="2">
        <v>10</v>
      </c>
      <c r="D37" s="9">
        <f t="shared" si="5"/>
        <v>41393</v>
      </c>
      <c r="E37" s="9">
        <f t="shared" si="6"/>
        <v>41406</v>
      </c>
      <c r="F37" s="9">
        <f t="shared" si="0"/>
        <v>41411</v>
      </c>
      <c r="G37" s="1">
        <f t="shared" si="1"/>
        <v>2013</v>
      </c>
      <c r="H37" s="2" t="str">
        <f t="shared" si="7"/>
        <v/>
      </c>
      <c r="I37" s="2" t="str">
        <f t="shared" si="2"/>
        <v>May</v>
      </c>
      <c r="J37" s="2" t="str">
        <f t="shared" si="8"/>
        <v>Wed</v>
      </c>
      <c r="K37" s="2" t="str">
        <f t="shared" si="3"/>
        <v>201310</v>
      </c>
      <c r="X37" s="2" t="str">
        <f t="shared" si="4"/>
        <v>FY13-10</v>
      </c>
    </row>
    <row r="38" spans="3:24" x14ac:dyDescent="0.2">
      <c r="C38" s="2">
        <v>11</v>
      </c>
      <c r="D38" s="9">
        <f t="shared" si="5"/>
        <v>41407</v>
      </c>
      <c r="E38" s="9">
        <f t="shared" si="6"/>
        <v>41420</v>
      </c>
      <c r="F38" s="9">
        <f t="shared" si="0"/>
        <v>41425</v>
      </c>
      <c r="G38" s="1">
        <f t="shared" si="1"/>
        <v>2013</v>
      </c>
      <c r="H38" s="2" t="str">
        <f t="shared" si="7"/>
        <v/>
      </c>
      <c r="I38" s="2" t="str">
        <f t="shared" si="2"/>
        <v>May</v>
      </c>
      <c r="J38" s="2" t="str">
        <f t="shared" si="8"/>
        <v/>
      </c>
      <c r="K38" s="2" t="str">
        <f t="shared" si="3"/>
        <v>201311</v>
      </c>
      <c r="X38" s="2" t="str">
        <f t="shared" si="4"/>
        <v>FY13-11</v>
      </c>
    </row>
    <row r="39" spans="3:24" x14ac:dyDescent="0.2">
      <c r="C39" s="2">
        <v>12</v>
      </c>
      <c r="D39" s="9">
        <f t="shared" si="5"/>
        <v>41421</v>
      </c>
      <c r="E39" s="9">
        <f t="shared" si="6"/>
        <v>41434</v>
      </c>
      <c r="F39" s="9">
        <f t="shared" si="0"/>
        <v>41439</v>
      </c>
      <c r="G39" s="1">
        <f t="shared" si="1"/>
        <v>2013</v>
      </c>
      <c r="H39" s="2" t="str">
        <f t="shared" si="7"/>
        <v/>
      </c>
      <c r="I39" s="2" t="str">
        <f t="shared" si="2"/>
        <v>June</v>
      </c>
      <c r="J39" s="2" t="str">
        <f t="shared" si="8"/>
        <v>Sat</v>
      </c>
      <c r="K39" s="2" t="str">
        <f t="shared" si="3"/>
        <v>201312</v>
      </c>
      <c r="X39" s="2" t="str">
        <f t="shared" si="4"/>
        <v>FY13-12</v>
      </c>
    </row>
    <row r="40" spans="3:24" x14ac:dyDescent="0.2">
      <c r="C40" s="2">
        <v>13</v>
      </c>
      <c r="D40" s="9">
        <f t="shared" si="5"/>
        <v>41435</v>
      </c>
      <c r="E40" s="9">
        <f t="shared" si="6"/>
        <v>41448</v>
      </c>
      <c r="F40" s="9">
        <f t="shared" si="0"/>
        <v>41453</v>
      </c>
      <c r="G40" s="1">
        <f t="shared" si="1"/>
        <v>2013</v>
      </c>
      <c r="H40" s="2" t="str">
        <f t="shared" si="7"/>
        <v/>
      </c>
      <c r="I40" s="2" t="str">
        <f t="shared" si="2"/>
        <v>June</v>
      </c>
      <c r="J40" s="2" t="str">
        <f t="shared" si="8"/>
        <v/>
      </c>
      <c r="K40" s="2" t="str">
        <f t="shared" si="3"/>
        <v>201313</v>
      </c>
      <c r="X40" s="2" t="str">
        <f t="shared" si="4"/>
        <v>FY13-13</v>
      </c>
    </row>
    <row r="41" spans="3:24" x14ac:dyDescent="0.2">
      <c r="C41" s="2">
        <v>14</v>
      </c>
      <c r="D41" s="9">
        <f t="shared" si="5"/>
        <v>41449</v>
      </c>
      <c r="E41" s="9">
        <f t="shared" si="6"/>
        <v>41462</v>
      </c>
      <c r="F41" s="9">
        <f t="shared" si="0"/>
        <v>41467</v>
      </c>
      <c r="G41" s="1">
        <f t="shared" si="1"/>
        <v>2013</v>
      </c>
      <c r="H41" s="2" t="str">
        <f t="shared" si="7"/>
        <v/>
      </c>
      <c r="I41" s="2" t="str">
        <f t="shared" si="2"/>
        <v>July</v>
      </c>
      <c r="J41" s="2" t="str">
        <f t="shared" si="8"/>
        <v>Mon</v>
      </c>
      <c r="K41" s="2" t="str">
        <f t="shared" si="3"/>
        <v>201314</v>
      </c>
      <c r="X41" s="2" t="str">
        <f t="shared" si="4"/>
        <v>FY13-14</v>
      </c>
    </row>
    <row r="42" spans="3:24" x14ac:dyDescent="0.2">
      <c r="C42" s="2">
        <v>15</v>
      </c>
      <c r="D42" s="9">
        <f t="shared" si="5"/>
        <v>41463</v>
      </c>
      <c r="E42" s="9">
        <f t="shared" si="6"/>
        <v>41476</v>
      </c>
      <c r="F42" s="9">
        <f t="shared" si="0"/>
        <v>41481</v>
      </c>
      <c r="G42" s="1">
        <f t="shared" si="1"/>
        <v>2013</v>
      </c>
      <c r="H42" s="2" t="str">
        <f t="shared" si="7"/>
        <v/>
      </c>
      <c r="I42" s="2" t="str">
        <f t="shared" si="2"/>
        <v>July</v>
      </c>
      <c r="J42" s="2" t="str">
        <f t="shared" si="8"/>
        <v/>
      </c>
      <c r="K42" s="2" t="str">
        <f t="shared" si="3"/>
        <v>201315</v>
      </c>
      <c r="X42" s="2" t="str">
        <f t="shared" si="4"/>
        <v>FY13-15</v>
      </c>
    </row>
    <row r="43" spans="3:24" x14ac:dyDescent="0.2">
      <c r="C43" s="2">
        <v>16</v>
      </c>
      <c r="D43" s="9">
        <f t="shared" si="5"/>
        <v>41477</v>
      </c>
      <c r="E43" s="9">
        <f t="shared" si="6"/>
        <v>41490</v>
      </c>
      <c r="F43" s="9">
        <f t="shared" si="0"/>
        <v>41495</v>
      </c>
      <c r="G43" s="1">
        <f t="shared" si="1"/>
        <v>2013</v>
      </c>
      <c r="H43" s="2" t="str">
        <f t="shared" si="7"/>
        <v/>
      </c>
      <c r="I43" s="2" t="str">
        <f t="shared" si="2"/>
        <v>August</v>
      </c>
      <c r="J43" s="2" t="str">
        <f t="shared" si="8"/>
        <v>Thu</v>
      </c>
      <c r="K43" s="2" t="str">
        <f t="shared" si="3"/>
        <v>201316</v>
      </c>
      <c r="X43" s="2" t="str">
        <f t="shared" si="4"/>
        <v>FY13-16</v>
      </c>
    </row>
    <row r="44" spans="3:24" x14ac:dyDescent="0.2">
      <c r="C44" s="2">
        <v>17</v>
      </c>
      <c r="D44" s="9">
        <f t="shared" si="5"/>
        <v>41491</v>
      </c>
      <c r="E44" s="9">
        <f t="shared" si="6"/>
        <v>41504</v>
      </c>
      <c r="F44" s="9">
        <f t="shared" si="0"/>
        <v>41509</v>
      </c>
      <c r="G44" s="1">
        <f t="shared" si="1"/>
        <v>2013</v>
      </c>
      <c r="H44" s="2" t="str">
        <f t="shared" si="7"/>
        <v/>
      </c>
      <c r="I44" s="2" t="str">
        <f t="shared" si="2"/>
        <v>August</v>
      </c>
      <c r="J44" s="2" t="str">
        <f t="shared" si="8"/>
        <v/>
      </c>
      <c r="K44" s="2" t="str">
        <f t="shared" si="3"/>
        <v>201317</v>
      </c>
      <c r="X44" s="2" t="str">
        <f t="shared" si="4"/>
        <v>FY13-17</v>
      </c>
    </row>
    <row r="45" spans="3:24" x14ac:dyDescent="0.2">
      <c r="C45" s="2">
        <v>18</v>
      </c>
      <c r="D45" s="9">
        <f t="shared" si="5"/>
        <v>41505</v>
      </c>
      <c r="E45" s="9">
        <f t="shared" si="6"/>
        <v>41518</v>
      </c>
      <c r="F45" s="9">
        <f t="shared" si="0"/>
        <v>41523</v>
      </c>
      <c r="G45" s="1">
        <f t="shared" si="1"/>
        <v>2013</v>
      </c>
      <c r="H45" s="2">
        <f t="shared" si="7"/>
        <v>13</v>
      </c>
      <c r="I45" s="2" t="str">
        <f t="shared" si="2"/>
        <v>September</v>
      </c>
      <c r="J45" s="2" t="str">
        <f t="shared" si="8"/>
        <v>Sun</v>
      </c>
      <c r="K45" s="2" t="str">
        <f t="shared" si="3"/>
        <v>201318</v>
      </c>
      <c r="L45" s="26"/>
      <c r="X45" s="2" t="str">
        <f t="shared" si="4"/>
        <v>FY13-18</v>
      </c>
    </row>
    <row r="46" spans="3:24" x14ac:dyDescent="0.2">
      <c r="C46" s="2">
        <v>19</v>
      </c>
      <c r="D46" s="9">
        <f t="shared" si="5"/>
        <v>41519</v>
      </c>
      <c r="E46" s="9">
        <f t="shared" si="6"/>
        <v>41532</v>
      </c>
      <c r="F46" s="9">
        <f t="shared" si="0"/>
        <v>41537</v>
      </c>
      <c r="G46" s="1">
        <f t="shared" si="1"/>
        <v>2014</v>
      </c>
      <c r="H46" s="2" t="str">
        <f t="shared" si="7"/>
        <v/>
      </c>
      <c r="I46" s="2" t="str">
        <f t="shared" si="2"/>
        <v>September</v>
      </c>
      <c r="J46" s="2" t="str">
        <f t="shared" si="8"/>
        <v/>
      </c>
      <c r="K46" s="2" t="str">
        <f t="shared" si="3"/>
        <v>201419</v>
      </c>
      <c r="X46" s="2" t="str">
        <f t="shared" si="4"/>
        <v>FY14-19</v>
      </c>
    </row>
    <row r="47" spans="3:24" x14ac:dyDescent="0.2">
      <c r="C47" s="2">
        <v>20</v>
      </c>
      <c r="D47" s="9">
        <f t="shared" si="5"/>
        <v>41533</v>
      </c>
      <c r="E47" s="9">
        <f t="shared" si="6"/>
        <v>41546</v>
      </c>
      <c r="F47" s="9">
        <f t="shared" si="0"/>
        <v>41551</v>
      </c>
      <c r="G47" s="1">
        <f t="shared" si="1"/>
        <v>2014</v>
      </c>
      <c r="H47" s="2" t="str">
        <f t="shared" si="7"/>
        <v/>
      </c>
      <c r="I47" s="2" t="str">
        <f t="shared" si="2"/>
        <v>October</v>
      </c>
      <c r="J47" s="2" t="str">
        <f t="shared" si="8"/>
        <v/>
      </c>
      <c r="K47" s="2" t="str">
        <f t="shared" si="3"/>
        <v>201420</v>
      </c>
      <c r="X47" s="2" t="str">
        <f t="shared" si="4"/>
        <v>FY14-20</v>
      </c>
    </row>
    <row r="48" spans="3:24" x14ac:dyDescent="0.2">
      <c r="C48" s="2">
        <v>21</v>
      </c>
      <c r="D48" s="9">
        <f t="shared" si="5"/>
        <v>41547</v>
      </c>
      <c r="E48" s="9">
        <f t="shared" si="6"/>
        <v>41560</v>
      </c>
      <c r="F48" s="9">
        <f t="shared" si="0"/>
        <v>41565</v>
      </c>
      <c r="G48" s="1">
        <f t="shared" si="1"/>
        <v>2014</v>
      </c>
      <c r="H48" s="2" t="str">
        <f t="shared" si="7"/>
        <v/>
      </c>
      <c r="I48" s="2" t="str">
        <f t="shared" si="2"/>
        <v>October</v>
      </c>
      <c r="J48" s="2" t="str">
        <f t="shared" si="8"/>
        <v>Wed</v>
      </c>
      <c r="K48" s="2" t="str">
        <f t="shared" si="3"/>
        <v>201421</v>
      </c>
      <c r="X48" s="2" t="str">
        <f t="shared" si="4"/>
        <v>FY14-21</v>
      </c>
    </row>
    <row r="49" spans="3:24" x14ac:dyDescent="0.2">
      <c r="C49" s="2">
        <v>22</v>
      </c>
      <c r="D49" s="9">
        <f t="shared" si="5"/>
        <v>41561</v>
      </c>
      <c r="E49" s="9">
        <f t="shared" si="6"/>
        <v>41574</v>
      </c>
      <c r="F49" s="9">
        <f t="shared" si="0"/>
        <v>41579</v>
      </c>
      <c r="G49" s="1">
        <f t="shared" si="1"/>
        <v>2014</v>
      </c>
      <c r="H49" s="2" t="str">
        <f t="shared" si="7"/>
        <v/>
      </c>
      <c r="I49" s="2" t="str">
        <f t="shared" si="2"/>
        <v>November</v>
      </c>
      <c r="J49" s="2" t="str">
        <f t="shared" si="8"/>
        <v/>
      </c>
      <c r="K49" s="2" t="str">
        <f t="shared" si="3"/>
        <v>201422</v>
      </c>
      <c r="X49" s="2" t="str">
        <f t="shared" si="4"/>
        <v>FY14-22</v>
      </c>
    </row>
    <row r="50" spans="3:24" x14ac:dyDescent="0.2">
      <c r="C50" s="2">
        <v>23</v>
      </c>
      <c r="D50" s="9">
        <f t="shared" si="5"/>
        <v>41575</v>
      </c>
      <c r="E50" s="9">
        <f t="shared" si="6"/>
        <v>41588</v>
      </c>
      <c r="F50" s="9">
        <f t="shared" si="0"/>
        <v>41593</v>
      </c>
      <c r="G50" s="1">
        <f t="shared" si="1"/>
        <v>2014</v>
      </c>
      <c r="H50" s="2" t="str">
        <f t="shared" si="7"/>
        <v/>
      </c>
      <c r="I50" s="2" t="str">
        <f t="shared" si="2"/>
        <v>November</v>
      </c>
      <c r="J50" s="2" t="str">
        <f t="shared" si="8"/>
        <v>Sat</v>
      </c>
      <c r="K50" s="2" t="str">
        <f t="shared" si="3"/>
        <v>201423</v>
      </c>
      <c r="X50" s="2" t="str">
        <f t="shared" si="4"/>
        <v>FY14-23</v>
      </c>
    </row>
    <row r="51" spans="3:24" x14ac:dyDescent="0.2">
      <c r="C51" s="2">
        <v>24</v>
      </c>
      <c r="D51" s="9">
        <f t="shared" si="5"/>
        <v>41589</v>
      </c>
      <c r="E51" s="9">
        <f t="shared" si="6"/>
        <v>41602</v>
      </c>
      <c r="F51" s="9">
        <f t="shared" si="0"/>
        <v>41607</v>
      </c>
      <c r="G51" s="1">
        <f t="shared" si="1"/>
        <v>2014</v>
      </c>
      <c r="H51" s="2" t="str">
        <f t="shared" si="7"/>
        <v/>
      </c>
      <c r="I51" s="2" t="str">
        <f t="shared" si="2"/>
        <v>November</v>
      </c>
      <c r="J51" s="2" t="str">
        <f t="shared" si="8"/>
        <v/>
      </c>
      <c r="K51" s="2" t="str">
        <f t="shared" si="3"/>
        <v>201424</v>
      </c>
      <c r="X51" s="2" t="str">
        <f t="shared" si="4"/>
        <v>FY14-24</v>
      </c>
    </row>
    <row r="52" spans="3:24" x14ac:dyDescent="0.2">
      <c r="C52" s="2">
        <v>25</v>
      </c>
      <c r="D52" s="9">
        <f t="shared" si="5"/>
        <v>41603</v>
      </c>
      <c r="E52" s="9">
        <f t="shared" si="6"/>
        <v>41616</v>
      </c>
      <c r="F52" s="9">
        <f t="shared" si="0"/>
        <v>41621</v>
      </c>
      <c r="G52" s="1">
        <f t="shared" si="1"/>
        <v>2014</v>
      </c>
      <c r="H52" s="2" t="str">
        <f t="shared" si="7"/>
        <v/>
      </c>
      <c r="I52" s="2" t="str">
        <f t="shared" si="2"/>
        <v>December</v>
      </c>
      <c r="J52" s="2" t="str">
        <f t="shared" si="8"/>
        <v>Mon</v>
      </c>
      <c r="K52" s="2" t="str">
        <f t="shared" si="3"/>
        <v>201425</v>
      </c>
      <c r="X52" s="2" t="str">
        <f t="shared" si="4"/>
        <v>FY14-25</v>
      </c>
    </row>
    <row r="53" spans="3:24" x14ac:dyDescent="0.2">
      <c r="C53" s="2">
        <v>26</v>
      </c>
      <c r="D53" s="9">
        <f t="shared" si="5"/>
        <v>41617</v>
      </c>
      <c r="E53" s="9">
        <f t="shared" si="6"/>
        <v>41630</v>
      </c>
      <c r="F53" s="9">
        <f t="shared" si="0"/>
        <v>41635</v>
      </c>
      <c r="G53" s="1">
        <f t="shared" si="1"/>
        <v>2014</v>
      </c>
      <c r="H53" s="2" t="str">
        <f t="shared" si="7"/>
        <v/>
      </c>
      <c r="I53" s="2" t="str">
        <f t="shared" si="2"/>
        <v>December</v>
      </c>
      <c r="J53" s="2" t="str">
        <f t="shared" si="8"/>
        <v/>
      </c>
      <c r="K53" s="2" t="str">
        <f t="shared" si="3"/>
        <v>201426</v>
      </c>
      <c r="X53" s="2" t="str">
        <f t="shared" si="4"/>
        <v>FY14-26</v>
      </c>
    </row>
    <row r="54" spans="3:24" x14ac:dyDescent="0.2">
      <c r="C54">
        <v>1</v>
      </c>
      <c r="D54" s="9">
        <f t="shared" si="5"/>
        <v>41631</v>
      </c>
      <c r="E54" s="9">
        <f t="shared" si="6"/>
        <v>41644</v>
      </c>
      <c r="F54" s="9">
        <f t="shared" si="0"/>
        <v>41649</v>
      </c>
      <c r="G54" s="1">
        <f t="shared" si="1"/>
        <v>2014</v>
      </c>
      <c r="H54" s="2" t="str">
        <f t="shared" si="7"/>
        <v/>
      </c>
      <c r="I54" s="2" t="str">
        <f t="shared" si="2"/>
        <v>January</v>
      </c>
      <c r="J54" s="2" t="str">
        <f t="shared" si="8"/>
        <v>Wed</v>
      </c>
      <c r="K54" s="2" t="str">
        <f t="shared" si="3"/>
        <v>20141</v>
      </c>
      <c r="X54" s="2" t="str">
        <f t="shared" si="4"/>
        <v>FY14-01</v>
      </c>
    </row>
    <row r="55" spans="3:24" x14ac:dyDescent="0.2">
      <c r="C55">
        <v>2</v>
      </c>
      <c r="D55" s="9">
        <f t="shared" si="5"/>
        <v>41645</v>
      </c>
      <c r="E55" s="9">
        <f t="shared" si="6"/>
        <v>41658</v>
      </c>
      <c r="F55" s="9">
        <f t="shared" si="0"/>
        <v>41663</v>
      </c>
      <c r="G55" s="1">
        <f t="shared" si="1"/>
        <v>2014</v>
      </c>
      <c r="H55" s="2" t="str">
        <f t="shared" si="7"/>
        <v/>
      </c>
      <c r="I55" s="2" t="str">
        <f t="shared" si="2"/>
        <v>January</v>
      </c>
      <c r="J55" s="2" t="str">
        <f t="shared" si="8"/>
        <v/>
      </c>
      <c r="K55" s="2" t="str">
        <f t="shared" si="3"/>
        <v>20142</v>
      </c>
      <c r="X55" s="2" t="str">
        <f t="shared" si="4"/>
        <v>FY14-02</v>
      </c>
    </row>
    <row r="56" spans="3:24" x14ac:dyDescent="0.2">
      <c r="C56" s="2">
        <v>3</v>
      </c>
      <c r="D56" s="9">
        <f t="shared" si="5"/>
        <v>41659</v>
      </c>
      <c r="E56" s="9">
        <f t="shared" si="6"/>
        <v>41672</v>
      </c>
      <c r="F56" s="9">
        <f t="shared" si="0"/>
        <v>41677</v>
      </c>
      <c r="G56" s="1">
        <f t="shared" si="1"/>
        <v>2014</v>
      </c>
      <c r="H56" s="2" t="str">
        <f t="shared" si="7"/>
        <v/>
      </c>
      <c r="I56" s="2" t="str">
        <f t="shared" si="2"/>
        <v>February</v>
      </c>
      <c r="J56" s="2" t="str">
        <f t="shared" si="8"/>
        <v>Sat</v>
      </c>
      <c r="K56" s="2" t="str">
        <f t="shared" si="3"/>
        <v>20143</v>
      </c>
      <c r="X56" s="2" t="str">
        <f t="shared" si="4"/>
        <v>FY14-03</v>
      </c>
    </row>
    <row r="57" spans="3:24" x14ac:dyDescent="0.2">
      <c r="C57" s="2">
        <v>4</v>
      </c>
      <c r="D57" s="9">
        <f t="shared" si="5"/>
        <v>41673</v>
      </c>
      <c r="E57" s="9">
        <f t="shared" si="6"/>
        <v>41686</v>
      </c>
      <c r="F57" s="9">
        <f t="shared" si="0"/>
        <v>41691</v>
      </c>
      <c r="G57" s="1">
        <f t="shared" si="1"/>
        <v>2014</v>
      </c>
      <c r="H57" s="2" t="str">
        <f t="shared" si="7"/>
        <v/>
      </c>
      <c r="I57" s="2" t="str">
        <f t="shared" si="2"/>
        <v>February</v>
      </c>
      <c r="J57" s="2" t="str">
        <f t="shared" si="8"/>
        <v/>
      </c>
      <c r="K57" s="2" t="str">
        <f t="shared" si="3"/>
        <v>20144</v>
      </c>
      <c r="X57" s="2" t="str">
        <f t="shared" si="4"/>
        <v>FY14-04</v>
      </c>
    </row>
    <row r="58" spans="3:24" x14ac:dyDescent="0.2">
      <c r="C58" s="2">
        <v>5</v>
      </c>
      <c r="D58" s="9">
        <f t="shared" si="5"/>
        <v>41687</v>
      </c>
      <c r="E58" s="9">
        <f t="shared" si="6"/>
        <v>41700</v>
      </c>
      <c r="F58" s="9">
        <f t="shared" si="0"/>
        <v>41705</v>
      </c>
      <c r="G58" s="1">
        <f t="shared" si="1"/>
        <v>2014</v>
      </c>
      <c r="H58" s="2" t="str">
        <f t="shared" si="7"/>
        <v/>
      </c>
      <c r="I58" s="2" t="str">
        <f t="shared" si="2"/>
        <v>March</v>
      </c>
      <c r="J58" s="2" t="str">
        <f t="shared" si="8"/>
        <v>Sat</v>
      </c>
      <c r="K58" s="2" t="str">
        <f t="shared" si="3"/>
        <v>20145</v>
      </c>
      <c r="X58" s="2" t="str">
        <f t="shared" si="4"/>
        <v>FY14-05</v>
      </c>
    </row>
    <row r="59" spans="3:24" x14ac:dyDescent="0.2">
      <c r="C59" s="2">
        <v>6</v>
      </c>
      <c r="D59" s="9">
        <f t="shared" si="5"/>
        <v>41701</v>
      </c>
      <c r="E59" s="9">
        <f t="shared" si="6"/>
        <v>41714</v>
      </c>
      <c r="F59" s="9">
        <f t="shared" si="0"/>
        <v>41719</v>
      </c>
      <c r="G59" s="1">
        <f t="shared" si="1"/>
        <v>2014</v>
      </c>
      <c r="H59" s="2" t="str">
        <f t="shared" si="7"/>
        <v/>
      </c>
      <c r="I59" s="2" t="str">
        <f t="shared" si="2"/>
        <v>March</v>
      </c>
      <c r="J59" s="2" t="str">
        <f t="shared" si="8"/>
        <v/>
      </c>
      <c r="K59" s="2" t="str">
        <f t="shared" si="3"/>
        <v>20146</v>
      </c>
      <c r="X59" s="2" t="str">
        <f t="shared" si="4"/>
        <v>FY14-06</v>
      </c>
    </row>
    <row r="60" spans="3:24" x14ac:dyDescent="0.2">
      <c r="C60" s="2">
        <v>7</v>
      </c>
      <c r="D60" s="9">
        <f t="shared" si="5"/>
        <v>41715</v>
      </c>
      <c r="E60" s="9">
        <f t="shared" si="6"/>
        <v>41728</v>
      </c>
      <c r="F60" s="9">
        <f t="shared" si="0"/>
        <v>41733</v>
      </c>
      <c r="G60" s="1">
        <f t="shared" si="1"/>
        <v>2014</v>
      </c>
      <c r="H60" s="2" t="str">
        <f t="shared" si="7"/>
        <v/>
      </c>
      <c r="I60" s="2" t="str">
        <f t="shared" si="2"/>
        <v>April</v>
      </c>
      <c r="J60" s="2" t="str">
        <f t="shared" si="8"/>
        <v/>
      </c>
      <c r="K60" s="2" t="str">
        <f t="shared" si="3"/>
        <v>20147</v>
      </c>
      <c r="X60" s="2" t="str">
        <f t="shared" si="4"/>
        <v>FY14-07</v>
      </c>
    </row>
    <row r="61" spans="3:24" x14ac:dyDescent="0.2">
      <c r="C61" s="2">
        <v>8</v>
      </c>
      <c r="D61" s="9">
        <f t="shared" si="5"/>
        <v>41729</v>
      </c>
      <c r="E61" s="9">
        <f t="shared" si="6"/>
        <v>41742</v>
      </c>
      <c r="F61" s="9">
        <f t="shared" si="0"/>
        <v>41747</v>
      </c>
      <c r="G61" s="1">
        <f t="shared" si="1"/>
        <v>2014</v>
      </c>
      <c r="H61" s="2" t="str">
        <f t="shared" si="7"/>
        <v/>
      </c>
      <c r="I61" s="2" t="str">
        <f t="shared" si="2"/>
        <v>April</v>
      </c>
      <c r="J61" s="2" t="str">
        <f t="shared" si="8"/>
        <v>Tue</v>
      </c>
      <c r="K61" s="2" t="str">
        <f t="shared" si="3"/>
        <v>20148</v>
      </c>
      <c r="X61" s="2" t="str">
        <f t="shared" si="4"/>
        <v>FY14-08</v>
      </c>
    </row>
    <row r="62" spans="3:24" x14ac:dyDescent="0.2">
      <c r="C62" s="2">
        <v>9</v>
      </c>
      <c r="D62" s="9">
        <f t="shared" si="5"/>
        <v>41743</v>
      </c>
      <c r="E62" s="9">
        <f t="shared" si="6"/>
        <v>41756</v>
      </c>
      <c r="F62" s="9">
        <f t="shared" si="0"/>
        <v>41761</v>
      </c>
      <c r="G62" s="1">
        <f t="shared" si="1"/>
        <v>2014</v>
      </c>
      <c r="H62" s="2" t="str">
        <f t="shared" si="7"/>
        <v/>
      </c>
      <c r="I62" s="2" t="str">
        <f t="shared" si="2"/>
        <v>May</v>
      </c>
      <c r="J62" s="2" t="str">
        <f t="shared" si="8"/>
        <v/>
      </c>
      <c r="K62" s="2" t="str">
        <f t="shared" si="3"/>
        <v>20149</v>
      </c>
      <c r="X62" s="2" t="str">
        <f t="shared" si="4"/>
        <v>FY14-09</v>
      </c>
    </row>
    <row r="63" spans="3:24" x14ac:dyDescent="0.2">
      <c r="C63" s="2">
        <v>10</v>
      </c>
      <c r="D63" s="9">
        <f t="shared" si="5"/>
        <v>41757</v>
      </c>
      <c r="E63" s="9">
        <f t="shared" si="6"/>
        <v>41770</v>
      </c>
      <c r="F63" s="9">
        <f t="shared" si="0"/>
        <v>41775</v>
      </c>
      <c r="G63" s="1">
        <f t="shared" si="1"/>
        <v>2014</v>
      </c>
      <c r="H63" s="2" t="str">
        <f t="shared" si="7"/>
        <v/>
      </c>
      <c r="I63" s="2" t="str">
        <f t="shared" si="2"/>
        <v>May</v>
      </c>
      <c r="J63" s="2" t="str">
        <f t="shared" si="8"/>
        <v>Thu</v>
      </c>
      <c r="K63" s="2" t="str">
        <f t="shared" si="3"/>
        <v>201410</v>
      </c>
      <c r="X63" s="2" t="str">
        <f t="shared" si="4"/>
        <v>FY14-10</v>
      </c>
    </row>
    <row r="64" spans="3:24" x14ac:dyDescent="0.2">
      <c r="C64" s="2">
        <v>11</v>
      </c>
      <c r="D64" s="9">
        <f t="shared" si="5"/>
        <v>41771</v>
      </c>
      <c r="E64" s="9">
        <f t="shared" si="6"/>
        <v>41784</v>
      </c>
      <c r="F64" s="9">
        <f t="shared" si="0"/>
        <v>41789</v>
      </c>
      <c r="G64" s="1">
        <f t="shared" si="1"/>
        <v>2014</v>
      </c>
      <c r="H64" s="2" t="str">
        <f t="shared" si="7"/>
        <v/>
      </c>
      <c r="I64" s="2" t="str">
        <f t="shared" si="2"/>
        <v>May</v>
      </c>
      <c r="J64" s="2" t="str">
        <f t="shared" si="8"/>
        <v/>
      </c>
      <c r="K64" s="2" t="str">
        <f t="shared" si="3"/>
        <v>201411</v>
      </c>
      <c r="X64" s="2" t="str">
        <f t="shared" si="4"/>
        <v>FY14-11</v>
      </c>
    </row>
    <row r="65" spans="3:24" x14ac:dyDescent="0.2">
      <c r="C65" s="2">
        <v>12</v>
      </c>
      <c r="D65" s="9">
        <f t="shared" si="5"/>
        <v>41785</v>
      </c>
      <c r="E65" s="9">
        <f t="shared" si="6"/>
        <v>41798</v>
      </c>
      <c r="F65" s="9">
        <f t="shared" si="0"/>
        <v>41803</v>
      </c>
      <c r="G65" s="1">
        <f t="shared" si="1"/>
        <v>2014</v>
      </c>
      <c r="H65" s="2" t="str">
        <f t="shared" si="7"/>
        <v/>
      </c>
      <c r="I65" s="2" t="str">
        <f t="shared" si="2"/>
        <v>June</v>
      </c>
      <c r="J65" s="2" t="str">
        <f t="shared" si="8"/>
        <v>Sun</v>
      </c>
      <c r="K65" s="2" t="str">
        <f t="shared" si="3"/>
        <v>201412</v>
      </c>
      <c r="X65" s="2" t="str">
        <f t="shared" si="4"/>
        <v>FY14-12</v>
      </c>
    </row>
    <row r="66" spans="3:24" x14ac:dyDescent="0.2">
      <c r="C66" s="2">
        <v>13</v>
      </c>
      <c r="D66" s="9">
        <f t="shared" si="5"/>
        <v>41799</v>
      </c>
      <c r="E66" s="9">
        <f t="shared" si="6"/>
        <v>41812</v>
      </c>
      <c r="F66" s="9">
        <f t="shared" si="0"/>
        <v>41817</v>
      </c>
      <c r="G66" s="1">
        <f t="shared" si="1"/>
        <v>2014</v>
      </c>
      <c r="H66" s="2" t="str">
        <f t="shared" si="7"/>
        <v/>
      </c>
      <c r="I66" s="2" t="str">
        <f t="shared" si="2"/>
        <v>June</v>
      </c>
      <c r="J66" s="2" t="str">
        <f t="shared" si="8"/>
        <v/>
      </c>
      <c r="K66" s="2" t="str">
        <f t="shared" si="3"/>
        <v>201413</v>
      </c>
      <c r="X66" s="2" t="str">
        <f t="shared" si="4"/>
        <v>FY14-13</v>
      </c>
    </row>
    <row r="67" spans="3:24" x14ac:dyDescent="0.2">
      <c r="C67" s="2">
        <v>14</v>
      </c>
      <c r="D67" s="9">
        <f t="shared" si="5"/>
        <v>41813</v>
      </c>
      <c r="E67" s="9">
        <f t="shared" si="6"/>
        <v>41826</v>
      </c>
      <c r="F67" s="9">
        <f t="shared" ref="F67:F124" si="9">E67+5</f>
        <v>41831</v>
      </c>
      <c r="G67" s="1">
        <f t="shared" ref="G67:G124" si="10">IF(D67&lt;DATE(2012,9,1),2012,IF(D67&lt;DATE(2013,9,1),2013,IF(D67&lt;DATE(2014,9,1),2014,IF(D67&lt;DATE(2015,9,1),2015,2016))))</f>
        <v>2014</v>
      </c>
      <c r="H67" s="2" t="str">
        <f t="shared" si="7"/>
        <v/>
      </c>
      <c r="I67" s="2" t="str">
        <f t="shared" ref="I67:I124" si="11">CHOOSE(IF(MONTH(F67)+1=13,1,MONTH(F67)+1),"December","January","February","March","April","May","June","July","August","September","October","November")</f>
        <v>July</v>
      </c>
      <c r="J67" s="2" t="str">
        <f t="shared" si="8"/>
        <v>Tue</v>
      </c>
      <c r="K67" s="2" t="str">
        <f t="shared" ref="K67:K124" si="12">G67 &amp; C67</f>
        <v>201414</v>
      </c>
      <c r="X67" s="2" t="str">
        <f t="shared" ref="X67:X124" si="13">"FY" &amp; RIGHT(G67,2) &amp; "-" &amp; IF(C67&lt;10,"0" &amp; C67,C67)</f>
        <v>FY14-14</v>
      </c>
    </row>
    <row r="68" spans="3:24" x14ac:dyDescent="0.2">
      <c r="C68" s="2">
        <v>15</v>
      </c>
      <c r="D68" s="9">
        <f t="shared" ref="D68:D124" si="14">E67+1</f>
        <v>41827</v>
      </c>
      <c r="E68" s="9">
        <f t="shared" ref="E68:E124" si="15">D68+13</f>
        <v>41840</v>
      </c>
      <c r="F68" s="9">
        <f t="shared" si="9"/>
        <v>41845</v>
      </c>
      <c r="G68" s="1">
        <f t="shared" si="10"/>
        <v>2014</v>
      </c>
      <c r="H68" s="2" t="str">
        <f t="shared" ref="H68:H118" si="16">IF(AND(D68&lt;DATE(G67,9,1),E68&gt;DATE(G67,8,31)),DATE(G67,9,1)-D68,"")</f>
        <v/>
      </c>
      <c r="I68" s="2" t="str">
        <f t="shared" si="11"/>
        <v>July</v>
      </c>
      <c r="J68" s="2" t="str">
        <f t="shared" ref="J68:J124" si="17">IF(MONTH(E68)=MONTH(E67),"",CHOOSE(WEEKDAY(DATE(G68,MONTH(F68),1),2),"Mon","Tue","Wed","Thu","Fri","Sat","Sun"))</f>
        <v/>
      </c>
      <c r="K68" s="2" t="str">
        <f t="shared" si="12"/>
        <v>201415</v>
      </c>
      <c r="X68" s="2" t="str">
        <f t="shared" si="13"/>
        <v>FY14-15</v>
      </c>
    </row>
    <row r="69" spans="3:24" x14ac:dyDescent="0.2">
      <c r="C69" s="2">
        <v>16</v>
      </c>
      <c r="D69" s="9">
        <f t="shared" si="14"/>
        <v>41841</v>
      </c>
      <c r="E69" s="9">
        <f t="shared" si="15"/>
        <v>41854</v>
      </c>
      <c r="F69" s="9">
        <f t="shared" si="9"/>
        <v>41859</v>
      </c>
      <c r="G69" s="1">
        <f t="shared" si="10"/>
        <v>2014</v>
      </c>
      <c r="H69" s="2" t="str">
        <f t="shared" si="16"/>
        <v/>
      </c>
      <c r="I69" s="2" t="str">
        <f t="shared" si="11"/>
        <v>August</v>
      </c>
      <c r="J69" s="2" t="str">
        <f t="shared" si="17"/>
        <v>Fri</v>
      </c>
      <c r="K69" s="2" t="str">
        <f t="shared" si="12"/>
        <v>201416</v>
      </c>
      <c r="X69" s="2" t="str">
        <f t="shared" si="13"/>
        <v>FY14-16</v>
      </c>
    </row>
    <row r="70" spans="3:24" x14ac:dyDescent="0.2">
      <c r="C70" s="2">
        <v>17</v>
      </c>
      <c r="D70" s="9">
        <f t="shared" si="14"/>
        <v>41855</v>
      </c>
      <c r="E70" s="9">
        <f t="shared" si="15"/>
        <v>41868</v>
      </c>
      <c r="F70" s="9">
        <f t="shared" si="9"/>
        <v>41873</v>
      </c>
      <c r="G70" s="1">
        <f t="shared" si="10"/>
        <v>2014</v>
      </c>
      <c r="H70" s="2" t="str">
        <f t="shared" si="16"/>
        <v/>
      </c>
      <c r="I70" s="2" t="str">
        <f t="shared" si="11"/>
        <v>August</v>
      </c>
      <c r="J70" s="2" t="str">
        <f t="shared" si="17"/>
        <v/>
      </c>
      <c r="K70" s="2" t="str">
        <f t="shared" si="12"/>
        <v>201417</v>
      </c>
      <c r="X70" s="2" t="str">
        <f t="shared" si="13"/>
        <v>FY14-17</v>
      </c>
    </row>
    <row r="71" spans="3:24" x14ac:dyDescent="0.2">
      <c r="C71" s="2">
        <v>18</v>
      </c>
      <c r="D71" s="9">
        <f t="shared" si="14"/>
        <v>41869</v>
      </c>
      <c r="E71" s="9">
        <f t="shared" si="15"/>
        <v>41882</v>
      </c>
      <c r="F71" s="9">
        <f t="shared" si="9"/>
        <v>41887</v>
      </c>
      <c r="G71" s="1">
        <f t="shared" si="10"/>
        <v>2014</v>
      </c>
      <c r="H71" s="2" t="str">
        <f t="shared" si="16"/>
        <v/>
      </c>
      <c r="I71" s="2" t="str">
        <f t="shared" si="11"/>
        <v>September</v>
      </c>
      <c r="J71" s="2" t="str">
        <f t="shared" si="17"/>
        <v/>
      </c>
      <c r="K71" s="2" t="str">
        <f t="shared" si="12"/>
        <v>201418</v>
      </c>
      <c r="X71" s="2" t="str">
        <f t="shared" si="13"/>
        <v>FY14-18</v>
      </c>
    </row>
    <row r="72" spans="3:24" x14ac:dyDescent="0.2">
      <c r="C72" s="2">
        <v>19</v>
      </c>
      <c r="D72" s="9">
        <f t="shared" si="14"/>
        <v>41883</v>
      </c>
      <c r="E72" s="9">
        <f t="shared" si="15"/>
        <v>41896</v>
      </c>
      <c r="F72" s="9">
        <f t="shared" si="9"/>
        <v>41901</v>
      </c>
      <c r="G72" s="1">
        <f t="shared" si="10"/>
        <v>2015</v>
      </c>
      <c r="H72" s="2" t="str">
        <f t="shared" si="16"/>
        <v/>
      </c>
      <c r="I72" s="2" t="str">
        <f t="shared" si="11"/>
        <v>September</v>
      </c>
      <c r="J72" s="2" t="str">
        <f t="shared" si="17"/>
        <v>Tue</v>
      </c>
      <c r="K72" s="2" t="str">
        <f t="shared" si="12"/>
        <v>201519</v>
      </c>
      <c r="X72" s="2" t="str">
        <f t="shared" si="13"/>
        <v>FY15-19</v>
      </c>
    </row>
    <row r="73" spans="3:24" x14ac:dyDescent="0.2">
      <c r="C73" s="2">
        <v>20</v>
      </c>
      <c r="D73" s="9">
        <f t="shared" si="14"/>
        <v>41897</v>
      </c>
      <c r="E73" s="9">
        <f t="shared" si="15"/>
        <v>41910</v>
      </c>
      <c r="F73" s="9">
        <f t="shared" si="9"/>
        <v>41915</v>
      </c>
      <c r="G73" s="1">
        <f t="shared" si="10"/>
        <v>2015</v>
      </c>
      <c r="H73" s="2" t="str">
        <f t="shared" si="16"/>
        <v/>
      </c>
      <c r="I73" s="2" t="str">
        <f t="shared" si="11"/>
        <v>October</v>
      </c>
      <c r="J73" s="2" t="str">
        <f t="shared" si="17"/>
        <v/>
      </c>
      <c r="K73" s="2" t="str">
        <f t="shared" si="12"/>
        <v>201520</v>
      </c>
      <c r="X73" s="2" t="str">
        <f t="shared" si="13"/>
        <v>FY15-20</v>
      </c>
    </row>
    <row r="74" spans="3:24" x14ac:dyDescent="0.2">
      <c r="C74" s="2">
        <v>21</v>
      </c>
      <c r="D74" s="9">
        <f t="shared" si="14"/>
        <v>41911</v>
      </c>
      <c r="E74" s="9">
        <f t="shared" si="15"/>
        <v>41924</v>
      </c>
      <c r="F74" s="9">
        <f t="shared" si="9"/>
        <v>41929</v>
      </c>
      <c r="G74" s="1">
        <f t="shared" si="10"/>
        <v>2015</v>
      </c>
      <c r="H74" s="2" t="str">
        <f t="shared" si="16"/>
        <v/>
      </c>
      <c r="I74" s="2" t="str">
        <f t="shared" si="11"/>
        <v>October</v>
      </c>
      <c r="J74" s="2" t="str">
        <f t="shared" si="17"/>
        <v>Thu</v>
      </c>
      <c r="K74" s="2" t="str">
        <f t="shared" si="12"/>
        <v>201521</v>
      </c>
      <c r="X74" s="2" t="str">
        <f t="shared" si="13"/>
        <v>FY15-21</v>
      </c>
    </row>
    <row r="75" spans="3:24" x14ac:dyDescent="0.2">
      <c r="C75" s="2">
        <v>22</v>
      </c>
      <c r="D75" s="9">
        <f t="shared" si="14"/>
        <v>41925</v>
      </c>
      <c r="E75" s="9">
        <f t="shared" si="15"/>
        <v>41938</v>
      </c>
      <c r="F75" s="9">
        <f t="shared" si="9"/>
        <v>41943</v>
      </c>
      <c r="G75" s="1">
        <f t="shared" si="10"/>
        <v>2015</v>
      </c>
      <c r="H75" s="2" t="str">
        <f t="shared" si="16"/>
        <v/>
      </c>
      <c r="I75" s="2" t="str">
        <f t="shared" si="11"/>
        <v>October</v>
      </c>
      <c r="J75" s="2" t="str">
        <f t="shared" si="17"/>
        <v/>
      </c>
      <c r="K75" s="2" t="str">
        <f t="shared" si="12"/>
        <v>201522</v>
      </c>
      <c r="X75" s="2" t="str">
        <f t="shared" si="13"/>
        <v>FY15-22</v>
      </c>
    </row>
    <row r="76" spans="3:24" x14ac:dyDescent="0.2">
      <c r="C76" s="2">
        <v>23</v>
      </c>
      <c r="D76" s="9">
        <f t="shared" si="14"/>
        <v>41939</v>
      </c>
      <c r="E76" s="9">
        <f t="shared" si="15"/>
        <v>41952</v>
      </c>
      <c r="F76" s="9">
        <f t="shared" si="9"/>
        <v>41957</v>
      </c>
      <c r="G76" s="1">
        <f t="shared" si="10"/>
        <v>2015</v>
      </c>
      <c r="H76" s="2" t="str">
        <f t="shared" si="16"/>
        <v/>
      </c>
      <c r="I76" s="2" t="str">
        <f t="shared" si="11"/>
        <v>November</v>
      </c>
      <c r="J76" s="2" t="str">
        <f t="shared" si="17"/>
        <v>Sun</v>
      </c>
      <c r="K76" s="2" t="str">
        <f t="shared" si="12"/>
        <v>201523</v>
      </c>
      <c r="X76" s="2" t="str">
        <f t="shared" si="13"/>
        <v>FY15-23</v>
      </c>
    </row>
    <row r="77" spans="3:24" x14ac:dyDescent="0.2">
      <c r="C77" s="2">
        <v>24</v>
      </c>
      <c r="D77" s="9">
        <f t="shared" si="14"/>
        <v>41953</v>
      </c>
      <c r="E77" s="9">
        <f t="shared" si="15"/>
        <v>41966</v>
      </c>
      <c r="F77" s="9">
        <f t="shared" si="9"/>
        <v>41971</v>
      </c>
      <c r="G77" s="1">
        <f t="shared" si="10"/>
        <v>2015</v>
      </c>
      <c r="H77" s="2" t="str">
        <f t="shared" si="16"/>
        <v/>
      </c>
      <c r="I77" s="2" t="str">
        <f t="shared" si="11"/>
        <v>November</v>
      </c>
      <c r="J77" s="2" t="str">
        <f t="shared" si="17"/>
        <v/>
      </c>
      <c r="K77" s="2" t="str">
        <f t="shared" si="12"/>
        <v>201524</v>
      </c>
      <c r="X77" s="2" t="str">
        <f t="shared" si="13"/>
        <v>FY15-24</v>
      </c>
    </row>
    <row r="78" spans="3:24" x14ac:dyDescent="0.2">
      <c r="C78" s="2">
        <v>25</v>
      </c>
      <c r="D78" s="9">
        <f t="shared" si="14"/>
        <v>41967</v>
      </c>
      <c r="E78" s="9">
        <f t="shared" si="15"/>
        <v>41980</v>
      </c>
      <c r="F78" s="9">
        <f t="shared" si="9"/>
        <v>41985</v>
      </c>
      <c r="G78" s="1">
        <f t="shared" si="10"/>
        <v>2015</v>
      </c>
      <c r="H78" s="2" t="str">
        <f t="shared" si="16"/>
        <v/>
      </c>
      <c r="I78" s="2" t="str">
        <f t="shared" si="11"/>
        <v>December</v>
      </c>
      <c r="J78" s="2" t="str">
        <f t="shared" si="17"/>
        <v>Tue</v>
      </c>
      <c r="K78" s="2" t="str">
        <f t="shared" si="12"/>
        <v>201525</v>
      </c>
      <c r="X78" s="2" t="str">
        <f t="shared" si="13"/>
        <v>FY15-25</v>
      </c>
    </row>
    <row r="79" spans="3:24" x14ac:dyDescent="0.2">
      <c r="C79" s="2">
        <v>26</v>
      </c>
      <c r="D79" s="9">
        <f t="shared" si="14"/>
        <v>41981</v>
      </c>
      <c r="E79" s="9">
        <f t="shared" si="15"/>
        <v>41994</v>
      </c>
      <c r="F79" s="9">
        <f t="shared" si="9"/>
        <v>41999</v>
      </c>
      <c r="G79" s="1">
        <f t="shared" si="10"/>
        <v>2015</v>
      </c>
      <c r="H79" s="2" t="str">
        <f t="shared" si="16"/>
        <v/>
      </c>
      <c r="I79" s="2" t="str">
        <f t="shared" si="11"/>
        <v>December</v>
      </c>
      <c r="J79" s="2" t="str">
        <f t="shared" si="17"/>
        <v/>
      </c>
      <c r="K79" s="2" t="str">
        <f t="shared" si="12"/>
        <v>201526</v>
      </c>
      <c r="X79" s="2" t="str">
        <f t="shared" si="13"/>
        <v>FY15-26</v>
      </c>
    </row>
    <row r="80" spans="3:24" x14ac:dyDescent="0.2">
      <c r="C80" s="2">
        <v>1</v>
      </c>
      <c r="D80" s="9">
        <f t="shared" si="14"/>
        <v>41995</v>
      </c>
      <c r="E80" s="9">
        <f t="shared" si="15"/>
        <v>42008</v>
      </c>
      <c r="F80" s="9">
        <f t="shared" si="9"/>
        <v>42013</v>
      </c>
      <c r="G80" s="1">
        <f t="shared" si="10"/>
        <v>2015</v>
      </c>
      <c r="H80" s="2" t="str">
        <f t="shared" si="16"/>
        <v/>
      </c>
      <c r="I80" s="2" t="str">
        <f t="shared" si="11"/>
        <v>January</v>
      </c>
      <c r="J80" s="2" t="str">
        <f t="shared" si="17"/>
        <v>Thu</v>
      </c>
      <c r="K80" s="2" t="str">
        <f t="shared" si="12"/>
        <v>20151</v>
      </c>
      <c r="X80" s="2" t="str">
        <f t="shared" si="13"/>
        <v>FY15-01</v>
      </c>
    </row>
    <row r="81" spans="3:24" x14ac:dyDescent="0.2">
      <c r="C81" s="2">
        <v>2</v>
      </c>
      <c r="D81" s="9">
        <f t="shared" si="14"/>
        <v>42009</v>
      </c>
      <c r="E81" s="9">
        <f t="shared" si="15"/>
        <v>42022</v>
      </c>
      <c r="F81" s="9">
        <f t="shared" si="9"/>
        <v>42027</v>
      </c>
      <c r="G81" s="1">
        <f t="shared" si="10"/>
        <v>2015</v>
      </c>
      <c r="H81" s="2" t="str">
        <f t="shared" si="16"/>
        <v/>
      </c>
      <c r="I81" s="2" t="str">
        <f t="shared" si="11"/>
        <v>January</v>
      </c>
      <c r="J81" s="2" t="str">
        <f t="shared" si="17"/>
        <v/>
      </c>
      <c r="K81" s="2" t="str">
        <f t="shared" si="12"/>
        <v>20152</v>
      </c>
      <c r="X81" s="2" t="str">
        <f t="shared" si="13"/>
        <v>FY15-02</v>
      </c>
    </row>
    <row r="82" spans="3:24" x14ac:dyDescent="0.2">
      <c r="C82" s="2">
        <v>3</v>
      </c>
      <c r="D82" s="9">
        <f t="shared" si="14"/>
        <v>42023</v>
      </c>
      <c r="E82" s="9">
        <f t="shared" si="15"/>
        <v>42036</v>
      </c>
      <c r="F82" s="9">
        <f t="shared" si="9"/>
        <v>42041</v>
      </c>
      <c r="G82" s="1">
        <f t="shared" si="10"/>
        <v>2015</v>
      </c>
      <c r="H82" s="2" t="str">
        <f t="shared" si="16"/>
        <v/>
      </c>
      <c r="I82" s="2" t="str">
        <f t="shared" si="11"/>
        <v>February</v>
      </c>
      <c r="J82" s="2" t="str">
        <f t="shared" si="17"/>
        <v>Sun</v>
      </c>
      <c r="K82" s="2" t="str">
        <f t="shared" si="12"/>
        <v>20153</v>
      </c>
      <c r="X82" s="2" t="str">
        <f t="shared" si="13"/>
        <v>FY15-03</v>
      </c>
    </row>
    <row r="83" spans="3:24" x14ac:dyDescent="0.2">
      <c r="C83" s="2">
        <v>4</v>
      </c>
      <c r="D83" s="9">
        <f t="shared" si="14"/>
        <v>42037</v>
      </c>
      <c r="E83" s="9">
        <f t="shared" si="15"/>
        <v>42050</v>
      </c>
      <c r="F83" s="9">
        <f t="shared" si="9"/>
        <v>42055</v>
      </c>
      <c r="G83" s="1">
        <f t="shared" si="10"/>
        <v>2015</v>
      </c>
      <c r="H83" s="2" t="str">
        <f t="shared" si="16"/>
        <v/>
      </c>
      <c r="I83" s="2" t="str">
        <f t="shared" si="11"/>
        <v>February</v>
      </c>
      <c r="J83" s="2" t="str">
        <f t="shared" si="17"/>
        <v/>
      </c>
      <c r="K83" s="2" t="str">
        <f t="shared" si="12"/>
        <v>20154</v>
      </c>
      <c r="X83" s="2" t="str">
        <f t="shared" si="13"/>
        <v>FY15-04</v>
      </c>
    </row>
    <row r="84" spans="3:24" x14ac:dyDescent="0.2">
      <c r="C84" s="2">
        <v>5</v>
      </c>
      <c r="D84" s="9">
        <f t="shared" si="14"/>
        <v>42051</v>
      </c>
      <c r="E84" s="9">
        <f t="shared" si="15"/>
        <v>42064</v>
      </c>
      <c r="F84" s="9">
        <f t="shared" si="9"/>
        <v>42069</v>
      </c>
      <c r="G84" s="1">
        <f t="shared" si="10"/>
        <v>2015</v>
      </c>
      <c r="H84" s="2" t="str">
        <f t="shared" si="16"/>
        <v/>
      </c>
      <c r="I84" s="2" t="str">
        <f t="shared" si="11"/>
        <v>March</v>
      </c>
      <c r="J84" s="2" t="str">
        <f t="shared" si="17"/>
        <v>Sun</v>
      </c>
      <c r="K84" s="2" t="str">
        <f t="shared" si="12"/>
        <v>20155</v>
      </c>
      <c r="X84" s="2" t="str">
        <f t="shared" si="13"/>
        <v>FY15-05</v>
      </c>
    </row>
    <row r="85" spans="3:24" x14ac:dyDescent="0.2">
      <c r="C85" s="2">
        <v>6</v>
      </c>
      <c r="D85" s="9">
        <f t="shared" si="14"/>
        <v>42065</v>
      </c>
      <c r="E85" s="9">
        <f t="shared" si="15"/>
        <v>42078</v>
      </c>
      <c r="F85" s="9">
        <f t="shared" si="9"/>
        <v>42083</v>
      </c>
      <c r="G85" s="1">
        <f t="shared" si="10"/>
        <v>2015</v>
      </c>
      <c r="H85" s="2" t="str">
        <f t="shared" si="16"/>
        <v/>
      </c>
      <c r="I85" s="2" t="str">
        <f t="shared" si="11"/>
        <v>March</v>
      </c>
      <c r="J85" s="2" t="str">
        <f t="shared" si="17"/>
        <v/>
      </c>
      <c r="K85" s="2" t="str">
        <f t="shared" si="12"/>
        <v>20156</v>
      </c>
      <c r="X85" s="2" t="str">
        <f t="shared" si="13"/>
        <v>FY15-06</v>
      </c>
    </row>
    <row r="86" spans="3:24" x14ac:dyDescent="0.2">
      <c r="C86" s="2">
        <v>7</v>
      </c>
      <c r="D86" s="9">
        <f t="shared" si="14"/>
        <v>42079</v>
      </c>
      <c r="E86" s="9">
        <f t="shared" si="15"/>
        <v>42092</v>
      </c>
      <c r="F86" s="9">
        <f t="shared" si="9"/>
        <v>42097</v>
      </c>
      <c r="G86" s="1">
        <f t="shared" si="10"/>
        <v>2015</v>
      </c>
      <c r="H86" s="2" t="str">
        <f t="shared" si="16"/>
        <v/>
      </c>
      <c r="I86" s="2" t="str">
        <f t="shared" si="11"/>
        <v>April</v>
      </c>
      <c r="J86" s="2" t="str">
        <f t="shared" si="17"/>
        <v/>
      </c>
      <c r="K86" s="2" t="str">
        <f t="shared" si="12"/>
        <v>20157</v>
      </c>
      <c r="X86" s="2" t="str">
        <f t="shared" si="13"/>
        <v>FY15-07</v>
      </c>
    </row>
    <row r="87" spans="3:24" x14ac:dyDescent="0.2">
      <c r="C87" s="2">
        <v>8</v>
      </c>
      <c r="D87" s="9">
        <f t="shared" si="14"/>
        <v>42093</v>
      </c>
      <c r="E87" s="9">
        <f t="shared" si="15"/>
        <v>42106</v>
      </c>
      <c r="F87" s="9">
        <f t="shared" si="9"/>
        <v>42111</v>
      </c>
      <c r="G87" s="1">
        <f t="shared" si="10"/>
        <v>2015</v>
      </c>
      <c r="H87" s="2" t="str">
        <f t="shared" si="16"/>
        <v/>
      </c>
      <c r="I87" s="2" t="str">
        <f t="shared" si="11"/>
        <v>April</v>
      </c>
      <c r="J87" s="2" t="str">
        <f t="shared" si="17"/>
        <v>Wed</v>
      </c>
      <c r="K87" s="2" t="str">
        <f t="shared" si="12"/>
        <v>20158</v>
      </c>
      <c r="X87" s="2" t="str">
        <f t="shared" si="13"/>
        <v>FY15-08</v>
      </c>
    </row>
    <row r="88" spans="3:24" x14ac:dyDescent="0.2">
      <c r="C88" s="2">
        <v>9</v>
      </c>
      <c r="D88" s="9">
        <f t="shared" si="14"/>
        <v>42107</v>
      </c>
      <c r="E88" s="9">
        <f t="shared" si="15"/>
        <v>42120</v>
      </c>
      <c r="F88" s="9">
        <f t="shared" si="9"/>
        <v>42125</v>
      </c>
      <c r="G88" s="1">
        <f t="shared" si="10"/>
        <v>2015</v>
      </c>
      <c r="H88" s="2" t="str">
        <f t="shared" si="16"/>
        <v/>
      </c>
      <c r="I88" s="2" t="str">
        <f t="shared" si="11"/>
        <v>May</v>
      </c>
      <c r="J88" s="2" t="str">
        <f t="shared" si="17"/>
        <v/>
      </c>
      <c r="K88" s="2" t="str">
        <f t="shared" si="12"/>
        <v>20159</v>
      </c>
      <c r="X88" s="2" t="str">
        <f t="shared" si="13"/>
        <v>FY15-09</v>
      </c>
    </row>
    <row r="89" spans="3:24" x14ac:dyDescent="0.2">
      <c r="C89" s="2">
        <v>10</v>
      </c>
      <c r="D89" s="9">
        <f t="shared" si="14"/>
        <v>42121</v>
      </c>
      <c r="E89" s="9">
        <f t="shared" si="15"/>
        <v>42134</v>
      </c>
      <c r="F89" s="9">
        <f t="shared" si="9"/>
        <v>42139</v>
      </c>
      <c r="G89" s="1">
        <f t="shared" si="10"/>
        <v>2015</v>
      </c>
      <c r="H89" s="2" t="str">
        <f t="shared" si="16"/>
        <v/>
      </c>
      <c r="I89" s="2" t="str">
        <f t="shared" si="11"/>
        <v>May</v>
      </c>
      <c r="J89" s="2" t="str">
        <f t="shared" si="17"/>
        <v>Fri</v>
      </c>
      <c r="K89" s="2" t="str">
        <f t="shared" si="12"/>
        <v>201510</v>
      </c>
      <c r="X89" s="2" t="str">
        <f t="shared" si="13"/>
        <v>FY15-10</v>
      </c>
    </row>
    <row r="90" spans="3:24" x14ac:dyDescent="0.2">
      <c r="C90" s="2">
        <v>11</v>
      </c>
      <c r="D90" s="9">
        <f t="shared" si="14"/>
        <v>42135</v>
      </c>
      <c r="E90" s="9">
        <f t="shared" si="15"/>
        <v>42148</v>
      </c>
      <c r="F90" s="9">
        <f t="shared" si="9"/>
        <v>42153</v>
      </c>
      <c r="G90" s="1">
        <f t="shared" si="10"/>
        <v>2015</v>
      </c>
      <c r="H90" s="2" t="str">
        <f t="shared" si="16"/>
        <v/>
      </c>
      <c r="I90" s="2" t="str">
        <f t="shared" si="11"/>
        <v>May</v>
      </c>
      <c r="J90" s="2" t="str">
        <f t="shared" si="17"/>
        <v/>
      </c>
      <c r="K90" s="2" t="str">
        <f t="shared" si="12"/>
        <v>201511</v>
      </c>
      <c r="X90" s="2" t="str">
        <f t="shared" si="13"/>
        <v>FY15-11</v>
      </c>
    </row>
    <row r="91" spans="3:24" x14ac:dyDescent="0.2">
      <c r="C91" s="2">
        <v>12</v>
      </c>
      <c r="D91" s="9">
        <f t="shared" si="14"/>
        <v>42149</v>
      </c>
      <c r="E91" s="9">
        <f t="shared" si="15"/>
        <v>42162</v>
      </c>
      <c r="F91" s="9">
        <f t="shared" si="9"/>
        <v>42167</v>
      </c>
      <c r="G91" s="1">
        <f t="shared" si="10"/>
        <v>2015</v>
      </c>
      <c r="H91" s="2" t="str">
        <f t="shared" si="16"/>
        <v/>
      </c>
      <c r="I91" s="2" t="str">
        <f t="shared" si="11"/>
        <v>June</v>
      </c>
      <c r="J91" s="2" t="str">
        <f t="shared" si="17"/>
        <v>Mon</v>
      </c>
      <c r="K91" s="2" t="str">
        <f t="shared" si="12"/>
        <v>201512</v>
      </c>
      <c r="X91" s="2" t="str">
        <f t="shared" si="13"/>
        <v>FY15-12</v>
      </c>
    </row>
    <row r="92" spans="3:24" x14ac:dyDescent="0.2">
      <c r="C92" s="2">
        <v>13</v>
      </c>
      <c r="D92" s="9">
        <f t="shared" si="14"/>
        <v>42163</v>
      </c>
      <c r="E92" s="9">
        <f t="shared" si="15"/>
        <v>42176</v>
      </c>
      <c r="F92" s="9">
        <f t="shared" si="9"/>
        <v>42181</v>
      </c>
      <c r="G92" s="1">
        <f t="shared" si="10"/>
        <v>2015</v>
      </c>
      <c r="H92" s="2" t="str">
        <f t="shared" si="16"/>
        <v/>
      </c>
      <c r="I92" s="2" t="str">
        <f t="shared" si="11"/>
        <v>June</v>
      </c>
      <c r="J92" s="2" t="str">
        <f t="shared" si="17"/>
        <v/>
      </c>
      <c r="K92" s="2" t="str">
        <f t="shared" si="12"/>
        <v>201513</v>
      </c>
      <c r="X92" s="2" t="str">
        <f t="shared" si="13"/>
        <v>FY15-13</v>
      </c>
    </row>
    <row r="93" spans="3:24" x14ac:dyDescent="0.2">
      <c r="C93" s="2">
        <v>14</v>
      </c>
      <c r="D93" s="9">
        <f t="shared" si="14"/>
        <v>42177</v>
      </c>
      <c r="E93" s="9">
        <f t="shared" si="15"/>
        <v>42190</v>
      </c>
      <c r="F93" s="9">
        <f t="shared" si="9"/>
        <v>42195</v>
      </c>
      <c r="G93" s="1">
        <f t="shared" si="10"/>
        <v>2015</v>
      </c>
      <c r="H93" s="2" t="str">
        <f t="shared" si="16"/>
        <v/>
      </c>
      <c r="I93" s="2" t="str">
        <f t="shared" si="11"/>
        <v>July</v>
      </c>
      <c r="J93" s="2" t="str">
        <f t="shared" si="17"/>
        <v>Wed</v>
      </c>
      <c r="K93" s="2" t="str">
        <f t="shared" si="12"/>
        <v>201514</v>
      </c>
      <c r="X93" s="2" t="str">
        <f t="shared" si="13"/>
        <v>FY15-14</v>
      </c>
    </row>
    <row r="94" spans="3:24" x14ac:dyDescent="0.2">
      <c r="C94" s="2">
        <v>15</v>
      </c>
      <c r="D94" s="9">
        <f t="shared" si="14"/>
        <v>42191</v>
      </c>
      <c r="E94" s="9">
        <f t="shared" si="15"/>
        <v>42204</v>
      </c>
      <c r="F94" s="9">
        <f t="shared" si="9"/>
        <v>42209</v>
      </c>
      <c r="G94" s="1">
        <f t="shared" si="10"/>
        <v>2015</v>
      </c>
      <c r="H94" s="2" t="str">
        <f t="shared" si="16"/>
        <v/>
      </c>
      <c r="I94" s="2" t="str">
        <f t="shared" si="11"/>
        <v>July</v>
      </c>
      <c r="J94" s="2" t="str">
        <f t="shared" si="17"/>
        <v/>
      </c>
      <c r="K94" s="2" t="str">
        <f t="shared" si="12"/>
        <v>201515</v>
      </c>
      <c r="X94" s="2" t="str">
        <f t="shared" si="13"/>
        <v>FY15-15</v>
      </c>
    </row>
    <row r="95" spans="3:24" x14ac:dyDescent="0.2">
      <c r="C95" s="2">
        <v>16</v>
      </c>
      <c r="D95" s="9">
        <f t="shared" si="14"/>
        <v>42205</v>
      </c>
      <c r="E95" s="9">
        <f t="shared" si="15"/>
        <v>42218</v>
      </c>
      <c r="F95" s="9">
        <f t="shared" si="9"/>
        <v>42223</v>
      </c>
      <c r="G95" s="1">
        <f t="shared" si="10"/>
        <v>2015</v>
      </c>
      <c r="H95" s="2" t="str">
        <f t="shared" si="16"/>
        <v/>
      </c>
      <c r="I95" s="2" t="str">
        <f t="shared" si="11"/>
        <v>August</v>
      </c>
      <c r="J95" s="2" t="str">
        <f t="shared" si="17"/>
        <v>Sat</v>
      </c>
      <c r="K95" s="2" t="str">
        <f t="shared" si="12"/>
        <v>201516</v>
      </c>
      <c r="X95" s="2" t="str">
        <f t="shared" si="13"/>
        <v>FY15-16</v>
      </c>
    </row>
    <row r="96" spans="3:24" x14ac:dyDescent="0.2">
      <c r="C96" s="2">
        <v>17</v>
      </c>
      <c r="D96" s="9">
        <f t="shared" si="14"/>
        <v>42219</v>
      </c>
      <c r="E96" s="9">
        <f t="shared" si="15"/>
        <v>42232</v>
      </c>
      <c r="F96" s="9">
        <f t="shared" si="9"/>
        <v>42237</v>
      </c>
      <c r="G96" s="1">
        <f t="shared" si="10"/>
        <v>2015</v>
      </c>
      <c r="H96" s="2" t="str">
        <f t="shared" si="16"/>
        <v/>
      </c>
      <c r="I96" s="2" t="str">
        <f t="shared" si="11"/>
        <v>August</v>
      </c>
      <c r="J96" s="2" t="str">
        <f t="shared" si="17"/>
        <v/>
      </c>
      <c r="K96" s="2" t="str">
        <f t="shared" si="12"/>
        <v>201517</v>
      </c>
      <c r="X96" s="2" t="str">
        <f t="shared" si="13"/>
        <v>FY15-17</v>
      </c>
    </row>
    <row r="97" spans="3:24" x14ac:dyDescent="0.2">
      <c r="C97" s="2">
        <v>18</v>
      </c>
      <c r="D97" s="9">
        <f t="shared" si="14"/>
        <v>42233</v>
      </c>
      <c r="E97" s="9">
        <f t="shared" si="15"/>
        <v>42246</v>
      </c>
      <c r="F97" s="9">
        <f t="shared" si="9"/>
        <v>42251</v>
      </c>
      <c r="G97" s="1">
        <f t="shared" si="10"/>
        <v>2015</v>
      </c>
      <c r="H97" s="2" t="str">
        <f t="shared" si="16"/>
        <v/>
      </c>
      <c r="I97" s="2" t="str">
        <f t="shared" si="11"/>
        <v>September</v>
      </c>
      <c r="J97" s="2" t="str">
        <f t="shared" si="17"/>
        <v/>
      </c>
      <c r="K97" s="2" t="str">
        <f t="shared" si="12"/>
        <v>201518</v>
      </c>
      <c r="X97" s="2" t="str">
        <f t="shared" si="13"/>
        <v>FY15-18</v>
      </c>
    </row>
    <row r="98" spans="3:24" x14ac:dyDescent="0.2">
      <c r="C98" s="2">
        <v>19</v>
      </c>
      <c r="D98" s="9">
        <f t="shared" si="14"/>
        <v>42247</v>
      </c>
      <c r="E98" s="9">
        <f t="shared" si="15"/>
        <v>42260</v>
      </c>
      <c r="F98" s="9">
        <f t="shared" si="9"/>
        <v>42265</v>
      </c>
      <c r="G98" s="1">
        <f t="shared" si="10"/>
        <v>2015</v>
      </c>
      <c r="H98" s="2">
        <f t="shared" si="16"/>
        <v>1</v>
      </c>
      <c r="I98" s="2" t="str">
        <f t="shared" si="11"/>
        <v>September</v>
      </c>
      <c r="J98" s="2" t="str">
        <f t="shared" si="17"/>
        <v>Tue</v>
      </c>
      <c r="K98" s="2" t="str">
        <f t="shared" si="12"/>
        <v>201519</v>
      </c>
      <c r="X98" s="2" t="str">
        <f t="shared" si="13"/>
        <v>FY15-19</v>
      </c>
    </row>
    <row r="99" spans="3:24" x14ac:dyDescent="0.2">
      <c r="C99" s="2">
        <v>20</v>
      </c>
      <c r="D99" s="9">
        <f t="shared" si="14"/>
        <v>42261</v>
      </c>
      <c r="E99" s="9">
        <f t="shared" si="15"/>
        <v>42274</v>
      </c>
      <c r="F99" s="9">
        <f t="shared" si="9"/>
        <v>42279</v>
      </c>
      <c r="G99" s="1">
        <f t="shared" si="10"/>
        <v>2016</v>
      </c>
      <c r="H99" s="2" t="str">
        <f t="shared" si="16"/>
        <v/>
      </c>
      <c r="I99" s="2" t="str">
        <f t="shared" si="11"/>
        <v>October</v>
      </c>
      <c r="J99" s="2" t="str">
        <f t="shared" si="17"/>
        <v/>
      </c>
      <c r="K99" s="2" t="str">
        <f t="shared" si="12"/>
        <v>201620</v>
      </c>
      <c r="X99" s="2" t="str">
        <f t="shared" si="13"/>
        <v>FY16-20</v>
      </c>
    </row>
    <row r="100" spans="3:24" x14ac:dyDescent="0.2">
      <c r="C100" s="2">
        <v>21</v>
      </c>
      <c r="D100" s="9">
        <f t="shared" si="14"/>
        <v>42275</v>
      </c>
      <c r="E100" s="9">
        <f t="shared" si="15"/>
        <v>42288</v>
      </c>
      <c r="F100" s="9">
        <f t="shared" si="9"/>
        <v>42293</v>
      </c>
      <c r="G100" s="1">
        <f t="shared" si="10"/>
        <v>2016</v>
      </c>
      <c r="H100" s="2" t="str">
        <f t="shared" si="16"/>
        <v/>
      </c>
      <c r="I100" s="2" t="str">
        <f t="shared" si="11"/>
        <v>October</v>
      </c>
      <c r="J100" s="2" t="str">
        <f t="shared" si="17"/>
        <v>Sat</v>
      </c>
      <c r="K100" s="2" t="str">
        <f t="shared" si="12"/>
        <v>201621</v>
      </c>
      <c r="X100" s="2" t="str">
        <f t="shared" si="13"/>
        <v>FY16-21</v>
      </c>
    </row>
    <row r="101" spans="3:24" x14ac:dyDescent="0.2">
      <c r="C101" s="2">
        <v>22</v>
      </c>
      <c r="D101" s="9">
        <f t="shared" si="14"/>
        <v>42289</v>
      </c>
      <c r="E101" s="9">
        <f t="shared" si="15"/>
        <v>42302</v>
      </c>
      <c r="F101" s="9">
        <f t="shared" si="9"/>
        <v>42307</v>
      </c>
      <c r="G101" s="1">
        <f t="shared" si="10"/>
        <v>2016</v>
      </c>
      <c r="H101" s="2" t="str">
        <f t="shared" si="16"/>
        <v/>
      </c>
      <c r="I101" s="2" t="str">
        <f t="shared" si="11"/>
        <v>October</v>
      </c>
      <c r="J101" s="2" t="str">
        <f t="shared" si="17"/>
        <v/>
      </c>
      <c r="K101" s="2" t="str">
        <f t="shared" si="12"/>
        <v>201622</v>
      </c>
      <c r="X101" s="2" t="str">
        <f t="shared" si="13"/>
        <v>FY16-22</v>
      </c>
    </row>
    <row r="102" spans="3:24" x14ac:dyDescent="0.2">
      <c r="C102" s="2">
        <v>23</v>
      </c>
      <c r="D102" s="9">
        <f t="shared" si="14"/>
        <v>42303</v>
      </c>
      <c r="E102" s="9">
        <f t="shared" si="15"/>
        <v>42316</v>
      </c>
      <c r="F102" s="9">
        <f t="shared" si="9"/>
        <v>42321</v>
      </c>
      <c r="G102" s="1">
        <f t="shared" si="10"/>
        <v>2016</v>
      </c>
      <c r="H102" s="2" t="str">
        <f t="shared" si="16"/>
        <v/>
      </c>
      <c r="I102" s="2" t="str">
        <f t="shared" si="11"/>
        <v>November</v>
      </c>
      <c r="J102" s="2" t="str">
        <f t="shared" si="17"/>
        <v>Tue</v>
      </c>
      <c r="K102" s="2" t="str">
        <f t="shared" si="12"/>
        <v>201623</v>
      </c>
      <c r="X102" s="2" t="str">
        <f t="shared" si="13"/>
        <v>FY16-23</v>
      </c>
    </row>
    <row r="103" spans="3:24" x14ac:dyDescent="0.2">
      <c r="C103" s="2">
        <v>24</v>
      </c>
      <c r="D103" s="9">
        <f t="shared" si="14"/>
        <v>42317</v>
      </c>
      <c r="E103" s="9">
        <f t="shared" si="15"/>
        <v>42330</v>
      </c>
      <c r="F103" s="9">
        <f t="shared" si="9"/>
        <v>42335</v>
      </c>
      <c r="G103" s="1">
        <f t="shared" si="10"/>
        <v>2016</v>
      </c>
      <c r="H103" s="2" t="str">
        <f t="shared" si="16"/>
        <v/>
      </c>
      <c r="I103" s="2" t="str">
        <f t="shared" si="11"/>
        <v>November</v>
      </c>
      <c r="J103" s="2" t="str">
        <f t="shared" si="17"/>
        <v/>
      </c>
      <c r="K103" s="2" t="str">
        <f t="shared" si="12"/>
        <v>201624</v>
      </c>
      <c r="X103" s="2" t="str">
        <f t="shared" si="13"/>
        <v>FY16-24</v>
      </c>
    </row>
    <row r="104" spans="3:24" x14ac:dyDescent="0.2">
      <c r="C104" s="2">
        <v>25</v>
      </c>
      <c r="D104" s="9">
        <f t="shared" si="14"/>
        <v>42331</v>
      </c>
      <c r="E104" s="9">
        <f t="shared" si="15"/>
        <v>42344</v>
      </c>
      <c r="F104" s="9">
        <f t="shared" si="9"/>
        <v>42349</v>
      </c>
      <c r="G104" s="1">
        <f t="shared" si="10"/>
        <v>2016</v>
      </c>
      <c r="H104" s="2" t="str">
        <f t="shared" si="16"/>
        <v/>
      </c>
      <c r="I104" s="2" t="str">
        <f t="shared" si="11"/>
        <v>December</v>
      </c>
      <c r="J104" s="2" t="str">
        <f t="shared" si="17"/>
        <v>Thu</v>
      </c>
      <c r="K104" s="2" t="str">
        <f t="shared" si="12"/>
        <v>201625</v>
      </c>
      <c r="X104" s="2" t="str">
        <f t="shared" si="13"/>
        <v>FY16-25</v>
      </c>
    </row>
    <row r="105" spans="3:24" x14ac:dyDescent="0.2">
      <c r="C105" s="2">
        <v>26</v>
      </c>
      <c r="D105" s="9">
        <f t="shared" si="14"/>
        <v>42345</v>
      </c>
      <c r="E105" s="9">
        <f t="shared" si="15"/>
        <v>42358</v>
      </c>
      <c r="F105" s="9">
        <f t="shared" si="9"/>
        <v>42363</v>
      </c>
      <c r="G105" s="1">
        <f t="shared" si="10"/>
        <v>2016</v>
      </c>
      <c r="H105" s="2" t="str">
        <f t="shared" si="16"/>
        <v/>
      </c>
      <c r="I105" s="2" t="str">
        <f t="shared" si="11"/>
        <v>December</v>
      </c>
      <c r="J105" s="2" t="str">
        <f t="shared" si="17"/>
        <v/>
      </c>
      <c r="K105" s="2" t="str">
        <f t="shared" si="12"/>
        <v>201626</v>
      </c>
      <c r="X105" s="2" t="str">
        <f t="shared" si="13"/>
        <v>FY16-26</v>
      </c>
    </row>
    <row r="106" spans="3:24" x14ac:dyDescent="0.2">
      <c r="C106" s="2">
        <v>1</v>
      </c>
      <c r="D106" s="9">
        <f t="shared" si="14"/>
        <v>42359</v>
      </c>
      <c r="E106" s="9">
        <f t="shared" si="15"/>
        <v>42372</v>
      </c>
      <c r="F106" s="9">
        <f t="shared" si="9"/>
        <v>42377</v>
      </c>
      <c r="G106" s="1">
        <f t="shared" si="10"/>
        <v>2016</v>
      </c>
      <c r="H106" s="2" t="str">
        <f t="shared" si="16"/>
        <v/>
      </c>
      <c r="I106" s="2" t="str">
        <f t="shared" si="11"/>
        <v>January</v>
      </c>
      <c r="J106" s="2" t="str">
        <f t="shared" si="17"/>
        <v>Fri</v>
      </c>
      <c r="K106" s="2" t="str">
        <f t="shared" si="12"/>
        <v>20161</v>
      </c>
      <c r="X106" s="2" t="str">
        <f t="shared" si="13"/>
        <v>FY16-01</v>
      </c>
    </row>
    <row r="107" spans="3:24" x14ac:dyDescent="0.2">
      <c r="C107" s="2">
        <v>2</v>
      </c>
      <c r="D107" s="9">
        <f t="shared" si="14"/>
        <v>42373</v>
      </c>
      <c r="E107" s="9">
        <f t="shared" si="15"/>
        <v>42386</v>
      </c>
      <c r="F107" s="9">
        <f t="shared" si="9"/>
        <v>42391</v>
      </c>
      <c r="G107" s="1">
        <f t="shared" si="10"/>
        <v>2016</v>
      </c>
      <c r="H107" s="2" t="str">
        <f t="shared" si="16"/>
        <v/>
      </c>
      <c r="I107" s="2" t="str">
        <f t="shared" si="11"/>
        <v>January</v>
      </c>
      <c r="J107" s="2" t="str">
        <f t="shared" si="17"/>
        <v/>
      </c>
      <c r="K107" s="2" t="str">
        <f t="shared" si="12"/>
        <v>20162</v>
      </c>
      <c r="X107" s="2" t="str">
        <f t="shared" si="13"/>
        <v>FY16-02</v>
      </c>
    </row>
    <row r="108" spans="3:24" x14ac:dyDescent="0.2">
      <c r="C108" s="2">
        <v>3</v>
      </c>
      <c r="D108" s="9">
        <f t="shared" si="14"/>
        <v>42387</v>
      </c>
      <c r="E108" s="9">
        <f t="shared" si="15"/>
        <v>42400</v>
      </c>
      <c r="F108" s="9">
        <f t="shared" si="9"/>
        <v>42405</v>
      </c>
      <c r="G108" s="1">
        <f t="shared" si="10"/>
        <v>2016</v>
      </c>
      <c r="H108" s="2" t="str">
        <f t="shared" si="16"/>
        <v/>
      </c>
      <c r="I108" s="2" t="str">
        <f t="shared" si="11"/>
        <v>February</v>
      </c>
      <c r="J108" s="2" t="str">
        <f t="shared" si="17"/>
        <v/>
      </c>
      <c r="K108" s="2" t="str">
        <f t="shared" si="12"/>
        <v>20163</v>
      </c>
      <c r="X108" s="2" t="str">
        <f t="shared" si="13"/>
        <v>FY16-03</v>
      </c>
    </row>
    <row r="109" spans="3:24" x14ac:dyDescent="0.2">
      <c r="C109" s="2">
        <v>4</v>
      </c>
      <c r="D109" s="9">
        <f t="shared" si="14"/>
        <v>42401</v>
      </c>
      <c r="E109" s="9">
        <f t="shared" si="15"/>
        <v>42414</v>
      </c>
      <c r="F109" s="9">
        <f t="shared" si="9"/>
        <v>42419</v>
      </c>
      <c r="G109" s="1">
        <f t="shared" si="10"/>
        <v>2016</v>
      </c>
      <c r="H109" s="2" t="str">
        <f t="shared" si="16"/>
        <v/>
      </c>
      <c r="I109" s="2" t="str">
        <f t="shared" si="11"/>
        <v>February</v>
      </c>
      <c r="J109" s="2" t="str">
        <f t="shared" si="17"/>
        <v>Mon</v>
      </c>
      <c r="K109" s="2" t="str">
        <f t="shared" si="12"/>
        <v>20164</v>
      </c>
      <c r="X109" s="2" t="str">
        <f t="shared" si="13"/>
        <v>FY16-04</v>
      </c>
    </row>
    <row r="110" spans="3:24" x14ac:dyDescent="0.2">
      <c r="C110" s="2">
        <v>5</v>
      </c>
      <c r="D110" s="9">
        <f t="shared" si="14"/>
        <v>42415</v>
      </c>
      <c r="E110" s="9">
        <f t="shared" si="15"/>
        <v>42428</v>
      </c>
      <c r="F110" s="9">
        <f t="shared" si="9"/>
        <v>42433</v>
      </c>
      <c r="G110" s="1">
        <f t="shared" si="10"/>
        <v>2016</v>
      </c>
      <c r="H110" s="2" t="str">
        <f t="shared" si="16"/>
        <v/>
      </c>
      <c r="I110" s="2" t="str">
        <f t="shared" si="11"/>
        <v>March</v>
      </c>
      <c r="J110" s="2" t="str">
        <f t="shared" si="17"/>
        <v/>
      </c>
      <c r="K110" s="2" t="str">
        <f t="shared" si="12"/>
        <v>20165</v>
      </c>
      <c r="X110" s="2" t="str">
        <f t="shared" si="13"/>
        <v>FY16-05</v>
      </c>
    </row>
    <row r="111" spans="3:24" x14ac:dyDescent="0.2">
      <c r="C111" s="2">
        <v>6</v>
      </c>
      <c r="D111" s="9">
        <f t="shared" si="14"/>
        <v>42429</v>
      </c>
      <c r="E111" s="9">
        <f t="shared" si="15"/>
        <v>42442</v>
      </c>
      <c r="F111" s="9">
        <f t="shared" si="9"/>
        <v>42447</v>
      </c>
      <c r="G111" s="1">
        <f t="shared" si="10"/>
        <v>2016</v>
      </c>
      <c r="H111" s="2" t="str">
        <f t="shared" si="16"/>
        <v/>
      </c>
      <c r="I111" s="2" t="str">
        <f t="shared" si="11"/>
        <v>March</v>
      </c>
      <c r="J111" s="2" t="str">
        <f t="shared" si="17"/>
        <v>Tue</v>
      </c>
      <c r="K111" s="2" t="str">
        <f t="shared" si="12"/>
        <v>20166</v>
      </c>
      <c r="X111" s="2" t="str">
        <f t="shared" si="13"/>
        <v>FY16-06</v>
      </c>
    </row>
    <row r="112" spans="3:24" x14ac:dyDescent="0.2">
      <c r="C112" s="2">
        <v>7</v>
      </c>
      <c r="D112" s="9">
        <f t="shared" si="14"/>
        <v>42443</v>
      </c>
      <c r="E112" s="9">
        <f t="shared" si="15"/>
        <v>42456</v>
      </c>
      <c r="F112" s="9">
        <f t="shared" si="9"/>
        <v>42461</v>
      </c>
      <c r="G112" s="1">
        <f t="shared" si="10"/>
        <v>2016</v>
      </c>
      <c r="H112" s="2" t="str">
        <f t="shared" si="16"/>
        <v/>
      </c>
      <c r="I112" s="2" t="str">
        <f t="shared" si="11"/>
        <v>April</v>
      </c>
      <c r="J112" s="2" t="str">
        <f t="shared" si="17"/>
        <v/>
      </c>
      <c r="K112" s="2" t="str">
        <f t="shared" si="12"/>
        <v>20167</v>
      </c>
      <c r="X112" s="2" t="str">
        <f t="shared" si="13"/>
        <v>FY16-07</v>
      </c>
    </row>
    <row r="113" spans="3:24" x14ac:dyDescent="0.2">
      <c r="C113" s="2">
        <v>8</v>
      </c>
      <c r="D113" s="9">
        <f t="shared" si="14"/>
        <v>42457</v>
      </c>
      <c r="E113" s="9">
        <f t="shared" si="15"/>
        <v>42470</v>
      </c>
      <c r="F113" s="9">
        <f t="shared" si="9"/>
        <v>42475</v>
      </c>
      <c r="G113" s="1">
        <f t="shared" si="10"/>
        <v>2016</v>
      </c>
      <c r="H113" s="2" t="str">
        <f t="shared" si="16"/>
        <v/>
      </c>
      <c r="I113" s="2" t="str">
        <f t="shared" si="11"/>
        <v>April</v>
      </c>
      <c r="J113" s="2" t="str">
        <f t="shared" si="17"/>
        <v>Fri</v>
      </c>
      <c r="K113" s="2" t="str">
        <f t="shared" si="12"/>
        <v>20168</v>
      </c>
      <c r="X113" s="2" t="str">
        <f t="shared" si="13"/>
        <v>FY16-08</v>
      </c>
    </row>
    <row r="114" spans="3:24" x14ac:dyDescent="0.2">
      <c r="C114" s="2">
        <v>9</v>
      </c>
      <c r="D114" s="9">
        <f t="shared" si="14"/>
        <v>42471</v>
      </c>
      <c r="E114" s="9">
        <f t="shared" si="15"/>
        <v>42484</v>
      </c>
      <c r="F114" s="9">
        <f t="shared" si="9"/>
        <v>42489</v>
      </c>
      <c r="G114" s="1">
        <f t="shared" si="10"/>
        <v>2016</v>
      </c>
      <c r="H114" s="2" t="str">
        <f t="shared" si="16"/>
        <v/>
      </c>
      <c r="I114" s="2" t="str">
        <f t="shared" si="11"/>
        <v>April</v>
      </c>
      <c r="J114" s="2" t="str">
        <f t="shared" si="17"/>
        <v/>
      </c>
      <c r="K114" s="2" t="str">
        <f t="shared" si="12"/>
        <v>20169</v>
      </c>
      <c r="X114" s="2" t="str">
        <f t="shared" si="13"/>
        <v>FY16-09</v>
      </c>
    </row>
    <row r="115" spans="3:24" x14ac:dyDescent="0.2">
      <c r="C115" s="2">
        <v>10</v>
      </c>
      <c r="D115" s="9">
        <f t="shared" si="14"/>
        <v>42485</v>
      </c>
      <c r="E115" s="9">
        <f t="shared" si="15"/>
        <v>42498</v>
      </c>
      <c r="F115" s="9">
        <f t="shared" si="9"/>
        <v>42503</v>
      </c>
      <c r="G115" s="1">
        <f t="shared" si="10"/>
        <v>2016</v>
      </c>
      <c r="H115" s="2" t="str">
        <f t="shared" si="16"/>
        <v/>
      </c>
      <c r="I115" s="2" t="str">
        <f t="shared" si="11"/>
        <v>May</v>
      </c>
      <c r="J115" s="2" t="str">
        <f t="shared" si="17"/>
        <v>Sun</v>
      </c>
      <c r="K115" s="2" t="str">
        <f t="shared" si="12"/>
        <v>201610</v>
      </c>
      <c r="X115" s="2" t="str">
        <f t="shared" si="13"/>
        <v>FY16-10</v>
      </c>
    </row>
    <row r="116" spans="3:24" x14ac:dyDescent="0.2">
      <c r="C116" s="2">
        <v>11</v>
      </c>
      <c r="D116" s="9">
        <f t="shared" si="14"/>
        <v>42499</v>
      </c>
      <c r="E116" s="9">
        <f t="shared" si="15"/>
        <v>42512</v>
      </c>
      <c r="F116" s="9">
        <f t="shared" si="9"/>
        <v>42517</v>
      </c>
      <c r="G116" s="1">
        <f t="shared" si="10"/>
        <v>2016</v>
      </c>
      <c r="H116" s="2" t="str">
        <f t="shared" si="16"/>
        <v/>
      </c>
      <c r="I116" s="2" t="str">
        <f t="shared" si="11"/>
        <v>May</v>
      </c>
      <c r="J116" s="2" t="str">
        <f t="shared" si="17"/>
        <v/>
      </c>
      <c r="K116" s="2" t="str">
        <f t="shared" si="12"/>
        <v>201611</v>
      </c>
      <c r="X116" s="2" t="str">
        <f t="shared" si="13"/>
        <v>FY16-11</v>
      </c>
    </row>
    <row r="117" spans="3:24" x14ac:dyDescent="0.2">
      <c r="C117" s="2">
        <v>12</v>
      </c>
      <c r="D117" s="9">
        <f t="shared" si="14"/>
        <v>42513</v>
      </c>
      <c r="E117" s="9">
        <f t="shared" si="15"/>
        <v>42526</v>
      </c>
      <c r="F117" s="9">
        <f t="shared" si="9"/>
        <v>42531</v>
      </c>
      <c r="G117" s="1">
        <f t="shared" si="10"/>
        <v>2016</v>
      </c>
      <c r="H117" s="2" t="str">
        <f t="shared" si="16"/>
        <v/>
      </c>
      <c r="I117" s="2" t="str">
        <f t="shared" si="11"/>
        <v>June</v>
      </c>
      <c r="J117" s="2" t="str">
        <f t="shared" si="17"/>
        <v>Wed</v>
      </c>
      <c r="K117" s="2" t="str">
        <f t="shared" si="12"/>
        <v>201612</v>
      </c>
      <c r="X117" s="2" t="str">
        <f t="shared" si="13"/>
        <v>FY16-12</v>
      </c>
    </row>
    <row r="118" spans="3:24" x14ac:dyDescent="0.2">
      <c r="C118" s="2">
        <v>13</v>
      </c>
      <c r="D118" s="9">
        <f t="shared" si="14"/>
        <v>42527</v>
      </c>
      <c r="E118" s="9">
        <f t="shared" si="15"/>
        <v>42540</v>
      </c>
      <c r="F118" s="9">
        <f t="shared" si="9"/>
        <v>42545</v>
      </c>
      <c r="G118" s="1">
        <f t="shared" si="10"/>
        <v>2016</v>
      </c>
      <c r="H118" s="2" t="str">
        <f t="shared" si="16"/>
        <v/>
      </c>
      <c r="I118" s="2" t="str">
        <f t="shared" si="11"/>
        <v>June</v>
      </c>
      <c r="J118" s="2" t="str">
        <f t="shared" si="17"/>
        <v/>
      </c>
      <c r="K118" s="2" t="str">
        <f t="shared" si="12"/>
        <v>201613</v>
      </c>
      <c r="X118" s="2" t="str">
        <f t="shared" si="13"/>
        <v>FY16-13</v>
      </c>
    </row>
    <row r="119" spans="3:24" x14ac:dyDescent="0.2">
      <c r="C119" s="2">
        <v>14</v>
      </c>
      <c r="D119" s="9">
        <f t="shared" si="14"/>
        <v>42541</v>
      </c>
      <c r="E119" s="9">
        <f t="shared" si="15"/>
        <v>42554</v>
      </c>
      <c r="F119" s="9">
        <f t="shared" si="9"/>
        <v>42559</v>
      </c>
      <c r="G119" s="1">
        <f t="shared" si="10"/>
        <v>2016</v>
      </c>
      <c r="I119" s="2" t="str">
        <f t="shared" si="11"/>
        <v>July</v>
      </c>
      <c r="J119" s="2" t="str">
        <f t="shared" si="17"/>
        <v>Fri</v>
      </c>
      <c r="K119" s="2" t="str">
        <f t="shared" si="12"/>
        <v>201614</v>
      </c>
      <c r="X119" s="2" t="str">
        <f t="shared" si="13"/>
        <v>FY16-14</v>
      </c>
    </row>
    <row r="120" spans="3:24" x14ac:dyDescent="0.2">
      <c r="C120" s="2">
        <v>15</v>
      </c>
      <c r="D120" s="9">
        <f t="shared" si="14"/>
        <v>42555</v>
      </c>
      <c r="E120" s="9">
        <f t="shared" si="15"/>
        <v>42568</v>
      </c>
      <c r="F120" s="9">
        <f t="shared" si="9"/>
        <v>42573</v>
      </c>
      <c r="G120" s="1">
        <f t="shared" si="10"/>
        <v>2016</v>
      </c>
      <c r="I120" s="2" t="str">
        <f t="shared" si="11"/>
        <v>July</v>
      </c>
      <c r="J120" s="2" t="str">
        <f t="shared" si="17"/>
        <v/>
      </c>
      <c r="K120" s="2" t="str">
        <f t="shared" si="12"/>
        <v>201615</v>
      </c>
      <c r="X120" s="2" t="str">
        <f t="shared" si="13"/>
        <v>FY16-15</v>
      </c>
    </row>
    <row r="121" spans="3:24" x14ac:dyDescent="0.2">
      <c r="C121" s="2">
        <v>16</v>
      </c>
      <c r="D121" s="9">
        <f t="shared" si="14"/>
        <v>42569</v>
      </c>
      <c r="E121" s="9">
        <f t="shared" si="15"/>
        <v>42582</v>
      </c>
      <c r="F121" s="9">
        <f t="shared" si="9"/>
        <v>42587</v>
      </c>
      <c r="G121" s="1">
        <f t="shared" si="10"/>
        <v>2016</v>
      </c>
      <c r="I121" s="2" t="str">
        <f t="shared" si="11"/>
        <v>August</v>
      </c>
      <c r="J121" s="2" t="str">
        <f t="shared" si="17"/>
        <v/>
      </c>
      <c r="K121" s="2" t="str">
        <f t="shared" si="12"/>
        <v>201616</v>
      </c>
      <c r="X121" s="2" t="str">
        <f t="shared" si="13"/>
        <v>FY16-16</v>
      </c>
    </row>
    <row r="122" spans="3:24" x14ac:dyDescent="0.2">
      <c r="C122" s="2">
        <v>17</v>
      </c>
      <c r="D122" s="9">
        <f t="shared" si="14"/>
        <v>42583</v>
      </c>
      <c r="E122" s="9">
        <f t="shared" si="15"/>
        <v>42596</v>
      </c>
      <c r="F122" s="9">
        <f t="shared" si="9"/>
        <v>42601</v>
      </c>
      <c r="G122" s="1">
        <f t="shared" si="10"/>
        <v>2016</v>
      </c>
      <c r="I122" s="2" t="str">
        <f t="shared" si="11"/>
        <v>August</v>
      </c>
      <c r="J122" s="2" t="str">
        <f t="shared" si="17"/>
        <v>Mon</v>
      </c>
      <c r="K122" s="2" t="str">
        <f t="shared" si="12"/>
        <v>201617</v>
      </c>
      <c r="X122" s="2" t="str">
        <f t="shared" si="13"/>
        <v>FY16-17</v>
      </c>
    </row>
    <row r="123" spans="3:24" x14ac:dyDescent="0.2">
      <c r="C123" s="2">
        <v>18</v>
      </c>
      <c r="D123" s="9">
        <f t="shared" si="14"/>
        <v>42597</v>
      </c>
      <c r="E123" s="9">
        <f t="shared" si="15"/>
        <v>42610</v>
      </c>
      <c r="F123" s="9">
        <f t="shared" si="9"/>
        <v>42615</v>
      </c>
      <c r="G123" s="1">
        <f t="shared" si="10"/>
        <v>2016</v>
      </c>
      <c r="I123" s="2" t="str">
        <f t="shared" si="11"/>
        <v>September</v>
      </c>
      <c r="J123" s="2" t="str">
        <f t="shared" si="17"/>
        <v/>
      </c>
      <c r="K123" s="2" t="str">
        <f t="shared" si="12"/>
        <v>201618</v>
      </c>
      <c r="X123" s="2" t="str">
        <f t="shared" si="13"/>
        <v>FY16-18</v>
      </c>
    </row>
    <row r="124" spans="3:24" x14ac:dyDescent="0.2">
      <c r="C124" s="2">
        <v>19</v>
      </c>
      <c r="D124" s="9">
        <f t="shared" si="14"/>
        <v>42611</v>
      </c>
      <c r="E124" s="9">
        <f t="shared" si="15"/>
        <v>42624</v>
      </c>
      <c r="F124" s="9">
        <f t="shared" si="9"/>
        <v>42629</v>
      </c>
      <c r="G124" s="1">
        <f t="shared" si="10"/>
        <v>2016</v>
      </c>
      <c r="I124" s="2" t="str">
        <f t="shared" si="11"/>
        <v>September</v>
      </c>
      <c r="J124" s="2" t="str">
        <f t="shared" si="17"/>
        <v>Thu</v>
      </c>
      <c r="K124" s="2" t="str">
        <f t="shared" si="12"/>
        <v>201619</v>
      </c>
      <c r="X124" s="2" t="str">
        <f t="shared" si="13"/>
        <v>FY16-19</v>
      </c>
    </row>
    <row r="125" spans="3:24" x14ac:dyDescent="0.2">
      <c r="C125" s="2"/>
      <c r="X125" s="2"/>
    </row>
    <row r="126" spans="3:24" x14ac:dyDescent="0.2">
      <c r="C126" s="2"/>
    </row>
    <row r="127" spans="3:24" x14ac:dyDescent="0.2">
      <c r="C127" s="2"/>
    </row>
    <row r="128" spans="3:24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</sheetData>
  <sortState ref="B2:B20">
    <sortCondition ref="B2"/>
  </sortState>
  <dataConsolidate/>
  <pageMargins left="0.7" right="0.7" top="0.75" bottom="0.75" header="0.3" footer="0.3"/>
  <pageSetup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/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INDEX(Refs!D:D,MATCH(templatesheet!B1 &amp; templatesheet!B2,Refs!K:K,0))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145" r:id="rId4" name="btnAddActivity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view="pageLayout" zoomScaleNormal="100" workbookViewId="0">
      <selection activeCell="B1" sqref="B1"/>
    </sheetView>
  </sheetViews>
  <sheetFormatPr defaultRowHeight="15" x14ac:dyDescent="0.2"/>
  <sheetData>
    <row r="1" spans="1:1" x14ac:dyDescent="0.2">
      <c r="A1" s="22" t="s">
        <v>54</v>
      </c>
    </row>
    <row r="2" spans="1:1" x14ac:dyDescent="0.2">
      <c r="A2" s="22" t="s">
        <v>55</v>
      </c>
    </row>
  </sheetData>
  <pageMargins left="0.25" right="0.25" top="0.75" bottom="0.75" header="0.3" footer="0.3"/>
  <pageSetup orientation="landscape" horizontalDpi="300" verticalDpi="300" r:id="rId1"/>
  <headerFooter>
    <oddHeader>&amp;CMonthly Activity Report</oddHeader>
    <oddFooter xml:space="preserve">&amp;CGenerated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MAIN</vt:lpstr>
      <vt:lpstr>FY13-17</vt:lpstr>
      <vt:lpstr>FY13-16</vt:lpstr>
      <vt:lpstr>FY13-15</vt:lpstr>
      <vt:lpstr>FY13-14</vt:lpstr>
      <vt:lpstr>FY13-04</vt:lpstr>
      <vt:lpstr>FY13-30</vt:lpstr>
      <vt:lpstr>FY13-21</vt:lpstr>
      <vt:lpstr>FY13-22</vt:lpstr>
      <vt:lpstr>FY13-23</vt:lpstr>
      <vt:lpstr>FY13-20</vt:lpstr>
      <vt:lpstr>FY13-19</vt:lpstr>
      <vt:lpstr>Refs</vt:lpstr>
      <vt:lpstr>templatesheet</vt:lpstr>
      <vt:lpstr>reporttemplatesheet</vt:lpstr>
    </vt:vector>
  </TitlesOfParts>
  <Company>Collin County Government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Bathman</dc:creator>
  <cp:lastModifiedBy>Jake Bathman</cp:lastModifiedBy>
  <dcterms:created xsi:type="dcterms:W3CDTF">2012-08-13T20:34:43Z</dcterms:created>
  <dcterms:modified xsi:type="dcterms:W3CDTF">2013-09-18T18:07:21Z</dcterms:modified>
</cp:coreProperties>
</file>