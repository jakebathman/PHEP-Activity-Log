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drawings/drawing3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drawings/drawing4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drawings/drawing5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drawings/drawing6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drawings/drawing8.xml" ContentType="application/vnd.openxmlformats-officedocument.drawing+xml"/>
  <Override PartName="/xl/activeX/activeX13.xml" ContentType="application/vnd.ms-office.activeX+xml"/>
  <Override PartName="/xl/activeX/activeX13.bin" ContentType="application/vnd.ms-office.activeX"/>
  <Override PartName="/xl/drawings/drawing9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drawings/drawing10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drawings/drawing11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drawings/drawing12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drawings/drawing13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drawings/drawing14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drawings/drawing15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drawings/drawing16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drawings/drawing17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drawings/drawing1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drawings/drawing19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drawings/drawing20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drawings/drawing21.xml" ContentType="application/vnd.openxmlformats-officedocument.drawing+xml"/>
  <Override PartName="/xl/activeX/activeX26.xml" ContentType="application/vnd.ms-office.activeX+xml"/>
  <Override PartName="/xl/activeX/activeX26.bin" ContentType="application/vnd.ms-office.activeX"/>
  <Override PartName="/xl/drawings/drawing22.xml" ContentType="application/vnd.openxmlformats-officedocument.drawing+xml"/>
  <Override PartName="/xl/activeX/activeX27.xml" ContentType="application/vnd.ms-office.activeX+xml"/>
  <Override PartName="/xl/activeX/activeX27.bin" ContentType="application/vnd.ms-office.activeX"/>
  <Override PartName="/xl/drawings/drawing23.xml" ContentType="application/vnd.openxmlformats-officedocument.drawing+xml"/>
  <Override PartName="/xl/activeX/activeX28.xml" ContentType="application/vnd.ms-office.activeX+xml"/>
  <Override PartName="/xl/activeX/activeX28.bin" ContentType="application/vnd.ms-office.activeX"/>
  <Override PartName="/xl/drawings/drawing24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drawings/drawing25.xml" ContentType="application/vnd.openxmlformats-officedocument.drawing+xml"/>
  <Override PartName="/xl/activeX/activeX30.xml" ContentType="application/vnd.ms-office.activeX+xml"/>
  <Override PartName="/xl/activeX/activeX30.bin" ContentType="application/vnd.ms-office.activeX"/>
  <Override PartName="/xl/drawings/drawing26.xml" ContentType="application/vnd.openxmlformats-officedocument.drawing+xml"/>
  <Override PartName="/xl/activeX/activeX31.xml" ContentType="application/vnd.ms-office.activeX+xml"/>
  <Override PartName="/xl/activeX/activeX31.bin" ContentType="application/vnd.ms-office.activeX"/>
  <Override PartName="/xl/drawings/drawing27.xml" ContentType="application/vnd.openxmlformats-officedocument.drawing+xml"/>
  <Override PartName="/xl/activeX/activeX32.xml" ContentType="application/vnd.ms-office.activeX+xml"/>
  <Override PartName="/xl/activeX/activeX32.bin" ContentType="application/vnd.ms-office.activeX"/>
  <Override PartName="/xl/drawings/drawing28.xml" ContentType="application/vnd.openxmlformats-officedocument.drawing+xml"/>
  <Override PartName="/xl/activeX/activeX33.xml" ContentType="application/vnd.ms-office.activeX+xml"/>
  <Override PartName="/xl/activeX/activeX33.bin" ContentType="application/vnd.ms-office.activeX"/>
  <Override PartName="/xl/drawings/drawing29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drawings/drawing30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updateLinks="never" codeName="ThisWorkbook" defaultThemeVersion="124226"/>
  <bookViews>
    <workbookView xWindow="480" yWindow="135" windowWidth="24720" windowHeight="10680" tabRatio="806"/>
  </bookViews>
  <sheets>
    <sheet name="MAIN" sheetId="3" r:id="rId1"/>
    <sheet name="FY14-20" sheetId="39" r:id="rId2"/>
    <sheet name="FY14-19" sheetId="35" r:id="rId3"/>
    <sheet name="FY14-18" sheetId="36" r:id="rId4"/>
    <sheet name="FY13-17" sheetId="37" r:id="rId5"/>
    <sheet name="FY13-16" sheetId="38" r:id="rId6"/>
    <sheet name="FY13-15" sheetId="33" r:id="rId7"/>
    <sheet name="FY13-14" sheetId="34" r:id="rId8"/>
    <sheet name="FY13-13" sheetId="32" r:id="rId9"/>
    <sheet name="FY13-12" sheetId="31" r:id="rId10"/>
    <sheet name="FY13-11" sheetId="30" r:id="rId11"/>
    <sheet name="FY13-10" sheetId="29" r:id="rId12"/>
    <sheet name="FY13-09" sheetId="26" r:id="rId13"/>
    <sheet name="FY13-08" sheetId="27" r:id="rId14"/>
    <sheet name="FY13-07" sheetId="28" r:id="rId15"/>
    <sheet name="FY13-06" sheetId="22" r:id="rId16"/>
    <sheet name="FY13-05" sheetId="23" r:id="rId17"/>
    <sheet name="FY13-04" sheetId="25" r:id="rId18"/>
    <sheet name="FY13-03" sheetId="24" r:id="rId19"/>
    <sheet name="FY13-02" sheetId="20" r:id="rId20"/>
    <sheet name="FY13-01" sheetId="19" r:id="rId21"/>
    <sheet name="Refs" sheetId="2" r:id="rId22"/>
    <sheet name="templatesheet" sheetId="4" state="veryHidden" r:id="rId23"/>
    <sheet name="FY13-26" sheetId="21" r:id="rId24"/>
    <sheet name="FY13-25" sheetId="10" r:id="rId25"/>
    <sheet name="FY13-24" sheetId="11" r:id="rId26"/>
    <sheet name="FY13-23" sheetId="12" r:id="rId27"/>
    <sheet name="FY13-22" sheetId="13" r:id="rId28"/>
    <sheet name="FY13-21" sheetId="14" r:id="rId29"/>
    <sheet name="FY13-20" sheetId="15" r:id="rId30"/>
    <sheet name="FY13-19" sheetId="16" r:id="rId31"/>
    <sheet name="reporttemplatesheet" sheetId="5" state="veryHidden" r:id="rId32"/>
  </sheets>
  <functionGroups builtInGroupCount="17"/>
  <definedNames>
    <definedName name="nRngActivityCategories">OFFSET(Refs!$B$2,0,0,COUNTA(Refs!$B:$B)-1,1)</definedName>
  </definedNames>
  <calcPr calcId="145621"/>
</workbook>
</file>

<file path=xl/calcChain.xml><?xml version="1.0" encoding="utf-8"?>
<calcChain xmlns="http://schemas.openxmlformats.org/spreadsheetml/2006/main">
  <c r="O17" i="36" l="1"/>
  <c r="H17" i="36"/>
  <c r="P15" i="36"/>
  <c r="P14" i="36"/>
  <c r="P13" i="36"/>
  <c r="P12" i="36"/>
  <c r="P11" i="36"/>
  <c r="P10" i="36"/>
  <c r="P9" i="36"/>
  <c r="P8" i="36"/>
  <c r="P7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C16" i="36"/>
  <c r="B16" i="36"/>
  <c r="P16" i="36" l="1"/>
  <c r="O17" i="37"/>
  <c r="H17" i="37"/>
  <c r="P15" i="37"/>
  <c r="P14" i="37"/>
  <c r="P13" i="37"/>
  <c r="P12" i="37"/>
  <c r="P11" i="37"/>
  <c r="P10" i="37"/>
  <c r="P9" i="37"/>
  <c r="P8" i="37"/>
  <c r="P7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C16" i="37"/>
  <c r="B16" i="37"/>
  <c r="O16" i="38"/>
  <c r="H16" i="38"/>
  <c r="P14" i="38"/>
  <c r="P13" i="38"/>
  <c r="P12" i="38"/>
  <c r="P11" i="38"/>
  <c r="P10" i="38"/>
  <c r="P9" i="38"/>
  <c r="P8" i="38"/>
  <c r="P7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C15" i="38"/>
  <c r="B15" i="38"/>
  <c r="O8" i="39"/>
  <c r="N8" i="39"/>
  <c r="M8" i="39"/>
  <c r="L8" i="39"/>
  <c r="K8" i="39"/>
  <c r="J8" i="39"/>
  <c r="I8" i="39"/>
  <c r="H8" i="39"/>
  <c r="G8" i="39"/>
  <c r="F8" i="39"/>
  <c r="E8" i="39"/>
  <c r="D8" i="39"/>
  <c r="C8" i="39"/>
  <c r="B8" i="39"/>
  <c r="P7" i="39"/>
  <c r="P8" i="39" s="1"/>
  <c r="O8" i="35"/>
  <c r="N8" i="35"/>
  <c r="M8" i="35"/>
  <c r="L8" i="35"/>
  <c r="K8" i="35"/>
  <c r="J8" i="35"/>
  <c r="I8" i="35"/>
  <c r="H8" i="35"/>
  <c r="G8" i="35"/>
  <c r="F8" i="35"/>
  <c r="E8" i="35"/>
  <c r="D8" i="35"/>
  <c r="C8" i="35"/>
  <c r="B8" i="35"/>
  <c r="P7" i="35"/>
  <c r="P8" i="35" s="1"/>
  <c r="P15" i="38" l="1"/>
  <c r="O18" i="33" l="1"/>
  <c r="H18" i="33"/>
  <c r="P16" i="33"/>
  <c r="P15" i="33"/>
  <c r="P14" i="33"/>
  <c r="P13" i="33"/>
  <c r="P12" i="33"/>
  <c r="P11" i="33"/>
  <c r="P10" i="33"/>
  <c r="P9" i="33"/>
  <c r="P8" i="33"/>
  <c r="P7" i="33"/>
  <c r="O17" i="33"/>
  <c r="N17" i="33"/>
  <c r="M17" i="33"/>
  <c r="L17" i="33"/>
  <c r="K17" i="33"/>
  <c r="J17" i="33"/>
  <c r="I17" i="33"/>
  <c r="H17" i="33"/>
  <c r="G17" i="33"/>
  <c r="F17" i="33"/>
  <c r="E17" i="33"/>
  <c r="D17" i="33"/>
  <c r="C17" i="33"/>
  <c r="B17" i="33"/>
  <c r="O18" i="34"/>
  <c r="P16" i="34"/>
  <c r="P15" i="34"/>
  <c r="P14" i="34"/>
  <c r="P13" i="34"/>
  <c r="P12" i="34"/>
  <c r="P11" i="34"/>
  <c r="P10" i="34"/>
  <c r="P9" i="34"/>
  <c r="P8" i="34"/>
  <c r="P7" i="34"/>
  <c r="O17" i="34"/>
  <c r="N17" i="34"/>
  <c r="M17" i="34"/>
  <c r="L17" i="34"/>
  <c r="K17" i="34"/>
  <c r="J17" i="34"/>
  <c r="I17" i="34"/>
  <c r="H17" i="34"/>
  <c r="G17" i="34"/>
  <c r="F17" i="34"/>
  <c r="E17" i="34"/>
  <c r="D17" i="34"/>
  <c r="C17" i="34"/>
  <c r="B17" i="34"/>
  <c r="H18" i="34" s="1"/>
  <c r="P17" i="33" l="1"/>
  <c r="P17" i="34"/>
  <c r="O18" i="32" l="1"/>
  <c r="H18" i="32"/>
  <c r="P16" i="32"/>
  <c r="P15" i="32"/>
  <c r="P14" i="32"/>
  <c r="P13" i="32"/>
  <c r="P12" i="32"/>
  <c r="P11" i="32"/>
  <c r="P10" i="32"/>
  <c r="P9" i="32"/>
  <c r="P8" i="32"/>
  <c r="P7" i="32"/>
  <c r="O17" i="32"/>
  <c r="N17" i="32"/>
  <c r="M17" i="32"/>
  <c r="L17" i="32"/>
  <c r="K17" i="32"/>
  <c r="J17" i="32"/>
  <c r="I17" i="32"/>
  <c r="H17" i="32"/>
  <c r="G17" i="32"/>
  <c r="F17" i="32"/>
  <c r="E17" i="32"/>
  <c r="D17" i="32"/>
  <c r="C17" i="32"/>
  <c r="B17" i="32"/>
  <c r="O18" i="31"/>
  <c r="H18" i="31"/>
  <c r="P16" i="31"/>
  <c r="P15" i="31"/>
  <c r="P14" i="31"/>
  <c r="P13" i="31"/>
  <c r="P12" i="31"/>
  <c r="P11" i="31"/>
  <c r="P10" i="31"/>
  <c r="P9" i="31"/>
  <c r="P8" i="31"/>
  <c r="P7" i="31"/>
  <c r="O17" i="31"/>
  <c r="N17" i="31"/>
  <c r="M17" i="31"/>
  <c r="L17" i="31"/>
  <c r="K17" i="31"/>
  <c r="J17" i="31"/>
  <c r="I17" i="31"/>
  <c r="H17" i="31"/>
  <c r="G17" i="31"/>
  <c r="F17" i="31"/>
  <c r="E17" i="31"/>
  <c r="D17" i="31"/>
  <c r="C17" i="31"/>
  <c r="B17" i="31"/>
  <c r="P17" i="32" l="1"/>
  <c r="P17" i="31"/>
  <c r="H21" i="30" l="1"/>
  <c r="P19" i="30"/>
  <c r="P18" i="30"/>
  <c r="P17" i="30"/>
  <c r="P16" i="30"/>
  <c r="P15" i="30"/>
  <c r="P14" i="30"/>
  <c r="P13" i="30"/>
  <c r="P12" i="30"/>
  <c r="P11" i="30"/>
  <c r="P10" i="30"/>
  <c r="P9" i="30"/>
  <c r="P8" i="30"/>
  <c r="P7" i="30"/>
  <c r="O20" i="30"/>
  <c r="N20" i="30"/>
  <c r="M20" i="30"/>
  <c r="L20" i="30"/>
  <c r="O21" i="30" s="1"/>
  <c r="K20" i="30"/>
  <c r="J20" i="30"/>
  <c r="I20" i="30"/>
  <c r="H20" i="30"/>
  <c r="G20" i="30"/>
  <c r="F20" i="30"/>
  <c r="E20" i="30"/>
  <c r="D20" i="30"/>
  <c r="C20" i="30"/>
  <c r="B20" i="30"/>
  <c r="O16" i="29"/>
  <c r="H16" i="29"/>
  <c r="P14" i="29"/>
  <c r="P13" i="29"/>
  <c r="P12" i="29"/>
  <c r="P11" i="29"/>
  <c r="P10" i="29"/>
  <c r="P9" i="29"/>
  <c r="P8" i="29"/>
  <c r="P7" i="29"/>
  <c r="O15" i="29"/>
  <c r="N15" i="29"/>
  <c r="M15" i="29"/>
  <c r="L15" i="29"/>
  <c r="K15" i="29"/>
  <c r="J15" i="29"/>
  <c r="I15" i="29"/>
  <c r="H15" i="29"/>
  <c r="G15" i="29"/>
  <c r="F15" i="29"/>
  <c r="E15" i="29"/>
  <c r="D15" i="29"/>
  <c r="C15" i="29"/>
  <c r="B15" i="29"/>
  <c r="H16" i="26"/>
  <c r="P14" i="26"/>
  <c r="P13" i="26"/>
  <c r="P12" i="26"/>
  <c r="P11" i="26"/>
  <c r="P10" i="26"/>
  <c r="P9" i="26"/>
  <c r="P8" i="26"/>
  <c r="P7" i="26"/>
  <c r="O15" i="26"/>
  <c r="N15" i="26"/>
  <c r="M15" i="26"/>
  <c r="L15" i="26"/>
  <c r="K15" i="26"/>
  <c r="J15" i="26"/>
  <c r="I15" i="26"/>
  <c r="H15" i="26"/>
  <c r="G15" i="26"/>
  <c r="F15" i="26"/>
  <c r="E15" i="26"/>
  <c r="D15" i="26"/>
  <c r="C15" i="26"/>
  <c r="B15" i="26"/>
  <c r="P20" i="30" l="1"/>
  <c r="P15" i="29"/>
  <c r="O16" i="26"/>
  <c r="P15" i="26"/>
  <c r="O18" i="27"/>
  <c r="H18" i="27"/>
  <c r="P16" i="27"/>
  <c r="P15" i="27"/>
  <c r="P14" i="27"/>
  <c r="P13" i="27"/>
  <c r="P12" i="27"/>
  <c r="P11" i="27"/>
  <c r="P10" i="27"/>
  <c r="P9" i="27"/>
  <c r="P8" i="27"/>
  <c r="P7" i="27"/>
  <c r="O17" i="27"/>
  <c r="N17" i="27"/>
  <c r="M17" i="27"/>
  <c r="L17" i="27"/>
  <c r="K17" i="27"/>
  <c r="J17" i="27"/>
  <c r="I17" i="27"/>
  <c r="H17" i="27"/>
  <c r="G17" i="27"/>
  <c r="F17" i="27"/>
  <c r="E17" i="27"/>
  <c r="D17" i="27"/>
  <c r="C17" i="27"/>
  <c r="B17" i="27"/>
  <c r="P17" i="27" l="1"/>
  <c r="O19" i="28"/>
  <c r="H19" i="28"/>
  <c r="P17" i="28"/>
  <c r="P16" i="28"/>
  <c r="P15" i="28"/>
  <c r="P14" i="28"/>
  <c r="P13" i="28"/>
  <c r="P12" i="28"/>
  <c r="P11" i="28"/>
  <c r="P10" i="28"/>
  <c r="P9" i="28"/>
  <c r="P8" i="28"/>
  <c r="P7" i="28"/>
  <c r="O18" i="28"/>
  <c r="N18" i="28"/>
  <c r="M18" i="28"/>
  <c r="L18" i="28"/>
  <c r="K18" i="28"/>
  <c r="J18" i="28"/>
  <c r="I18" i="28"/>
  <c r="H18" i="28"/>
  <c r="G18" i="28"/>
  <c r="F18" i="28"/>
  <c r="E18" i="28"/>
  <c r="D18" i="28"/>
  <c r="C18" i="28"/>
  <c r="B18" i="28"/>
  <c r="P18" i="28" l="1"/>
  <c r="O16" i="22"/>
  <c r="H16" i="22"/>
  <c r="P14" i="22"/>
  <c r="P13" i="22"/>
  <c r="P12" i="22"/>
  <c r="P11" i="22"/>
  <c r="P10" i="22"/>
  <c r="P9" i="22"/>
  <c r="P8" i="22"/>
  <c r="P7" i="22"/>
  <c r="O15" i="22"/>
  <c r="N15" i="22"/>
  <c r="M15" i="22"/>
  <c r="L15" i="22"/>
  <c r="K15" i="22"/>
  <c r="J15" i="22"/>
  <c r="I15" i="22"/>
  <c r="H15" i="22"/>
  <c r="G15" i="22"/>
  <c r="F15" i="22"/>
  <c r="E15" i="22"/>
  <c r="D15" i="22"/>
  <c r="C15" i="22"/>
  <c r="B15" i="22"/>
  <c r="O20" i="23"/>
  <c r="H20" i="23"/>
  <c r="P18" i="23"/>
  <c r="P17" i="23"/>
  <c r="P16" i="23"/>
  <c r="P15" i="23"/>
  <c r="P14" i="23"/>
  <c r="P13" i="23"/>
  <c r="P12" i="23"/>
  <c r="P11" i="23"/>
  <c r="P10" i="23"/>
  <c r="P9" i="23"/>
  <c r="P8" i="23"/>
  <c r="P7" i="23"/>
  <c r="O19" i="23"/>
  <c r="N19" i="23"/>
  <c r="M19" i="23"/>
  <c r="L19" i="23"/>
  <c r="K19" i="23"/>
  <c r="J19" i="23"/>
  <c r="I19" i="23"/>
  <c r="H19" i="23"/>
  <c r="G19" i="23"/>
  <c r="F19" i="23"/>
  <c r="E19" i="23"/>
  <c r="D19" i="23"/>
  <c r="C19" i="23"/>
  <c r="B19" i="23"/>
  <c r="P15" i="22" l="1"/>
  <c r="P19" i="23"/>
  <c r="H19" i="24"/>
  <c r="P17" i="24"/>
  <c r="P16" i="24"/>
  <c r="P15" i="24"/>
  <c r="P14" i="24"/>
  <c r="P13" i="24"/>
  <c r="P12" i="24"/>
  <c r="P11" i="24"/>
  <c r="P10" i="24"/>
  <c r="P9" i="24"/>
  <c r="P8" i="24"/>
  <c r="P7" i="24"/>
  <c r="O18" i="24"/>
  <c r="N18" i="24"/>
  <c r="M18" i="24"/>
  <c r="L18" i="24"/>
  <c r="K18" i="24"/>
  <c r="J18" i="24"/>
  <c r="O19" i="24" s="1"/>
  <c r="I18" i="24"/>
  <c r="H18" i="24"/>
  <c r="G18" i="24"/>
  <c r="F18" i="24"/>
  <c r="E18" i="24"/>
  <c r="D18" i="24"/>
  <c r="C18" i="24"/>
  <c r="B18" i="24"/>
  <c r="P18" i="24" l="1"/>
  <c r="O19" i="25"/>
  <c r="N19" i="25"/>
  <c r="M19" i="25"/>
  <c r="L19" i="25"/>
  <c r="K19" i="25"/>
  <c r="J19" i="25"/>
  <c r="O20" i="25" s="1"/>
  <c r="I19" i="25"/>
  <c r="H19" i="25"/>
  <c r="G19" i="25"/>
  <c r="F19" i="25"/>
  <c r="E19" i="25"/>
  <c r="D19" i="25"/>
  <c r="C19" i="25"/>
  <c r="B19" i="25"/>
  <c r="H20" i="25" s="1"/>
  <c r="P18" i="25"/>
  <c r="P17" i="25"/>
  <c r="P16" i="25"/>
  <c r="P15" i="25"/>
  <c r="P14" i="25"/>
  <c r="P13" i="25"/>
  <c r="P12" i="25"/>
  <c r="P11" i="25"/>
  <c r="P10" i="25"/>
  <c r="P9" i="25"/>
  <c r="P8" i="25"/>
  <c r="P7" i="25"/>
  <c r="P19" i="25" s="1"/>
  <c r="H20" i="20" l="1"/>
  <c r="P18" i="20"/>
  <c r="P17" i="20"/>
  <c r="P16" i="20"/>
  <c r="P15" i="20"/>
  <c r="P14" i="20"/>
  <c r="P13" i="20"/>
  <c r="P12" i="20"/>
  <c r="P11" i="20"/>
  <c r="P10" i="20"/>
  <c r="P9" i="20"/>
  <c r="P8" i="20"/>
  <c r="P7" i="20"/>
  <c r="O19" i="20"/>
  <c r="N19" i="20"/>
  <c r="M19" i="20"/>
  <c r="O20" i="20" s="1"/>
  <c r="L19" i="20"/>
  <c r="K19" i="20"/>
  <c r="J19" i="20"/>
  <c r="I19" i="20"/>
  <c r="H19" i="20"/>
  <c r="G19" i="20"/>
  <c r="F19" i="20"/>
  <c r="E19" i="20"/>
  <c r="D19" i="20"/>
  <c r="C19" i="20"/>
  <c r="B19" i="20"/>
  <c r="O17" i="19"/>
  <c r="P15" i="19"/>
  <c r="P14" i="19"/>
  <c r="P13" i="19"/>
  <c r="P12" i="19"/>
  <c r="P11" i="19"/>
  <c r="P10" i="19"/>
  <c r="P9" i="19"/>
  <c r="P8" i="19"/>
  <c r="P7" i="19"/>
  <c r="O16" i="19"/>
  <c r="N16" i="19"/>
  <c r="M16" i="19"/>
  <c r="L16" i="19"/>
  <c r="K16" i="19"/>
  <c r="J16" i="19"/>
  <c r="I16" i="19"/>
  <c r="H16" i="19"/>
  <c r="G16" i="19"/>
  <c r="F16" i="19"/>
  <c r="E16" i="19"/>
  <c r="H17" i="19" s="1"/>
  <c r="D16" i="19"/>
  <c r="C16" i="19"/>
  <c r="B16" i="19"/>
  <c r="P19" i="20" l="1"/>
  <c r="P16" i="19"/>
  <c r="O18" i="21"/>
  <c r="H18" i="21"/>
  <c r="P16" i="21"/>
  <c r="P15" i="21"/>
  <c r="P14" i="21"/>
  <c r="P13" i="21"/>
  <c r="P12" i="21"/>
  <c r="P11" i="21"/>
  <c r="P10" i="21"/>
  <c r="P9" i="21"/>
  <c r="P8" i="21"/>
  <c r="P7" i="21"/>
  <c r="O17" i="21"/>
  <c r="N17" i="21"/>
  <c r="M17" i="21"/>
  <c r="L17" i="21"/>
  <c r="K17" i="21"/>
  <c r="J17" i="21"/>
  <c r="I17" i="21"/>
  <c r="H17" i="21"/>
  <c r="G17" i="21"/>
  <c r="F17" i="21"/>
  <c r="E17" i="21"/>
  <c r="D17" i="21"/>
  <c r="C17" i="21"/>
  <c r="B17" i="21"/>
  <c r="O19" i="10"/>
  <c r="H19" i="10"/>
  <c r="P17" i="10"/>
  <c r="P16" i="10"/>
  <c r="P15" i="10"/>
  <c r="P14" i="10"/>
  <c r="P13" i="10"/>
  <c r="P12" i="10"/>
  <c r="P11" i="10"/>
  <c r="P10" i="10"/>
  <c r="P9" i="10"/>
  <c r="P8" i="10"/>
  <c r="P7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B18" i="10"/>
  <c r="P17" i="21" l="1"/>
  <c r="P18" i="10"/>
  <c r="C5" i="21"/>
  <c r="D5" i="21" s="1"/>
  <c r="E5" i="21" s="1"/>
  <c r="F5" i="21" s="1"/>
  <c r="G5" i="21" s="1"/>
  <c r="H5" i="21" s="1"/>
  <c r="I5" i="21" s="1"/>
  <c r="J5" i="21" s="1"/>
  <c r="K5" i="21" s="1"/>
  <c r="L5" i="21" s="1"/>
  <c r="M5" i="21" s="1"/>
  <c r="N5" i="21" s="1"/>
  <c r="O5" i="21" s="1"/>
  <c r="O17" i="11" l="1"/>
  <c r="H17" i="11"/>
  <c r="P15" i="11"/>
  <c r="P14" i="11"/>
  <c r="P13" i="11"/>
  <c r="P12" i="11"/>
  <c r="P11" i="11"/>
  <c r="P10" i="11"/>
  <c r="P9" i="11"/>
  <c r="P8" i="11"/>
  <c r="P7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O22" i="12"/>
  <c r="H22" i="12"/>
  <c r="P20" i="12"/>
  <c r="P19" i="12"/>
  <c r="P18" i="12"/>
  <c r="P17" i="12"/>
  <c r="P16" i="12"/>
  <c r="P15" i="12"/>
  <c r="P14" i="12"/>
  <c r="P13" i="12"/>
  <c r="P12" i="12"/>
  <c r="P11" i="12"/>
  <c r="P10" i="12"/>
  <c r="P9" i="12"/>
  <c r="P8" i="12"/>
  <c r="P7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B21" i="12"/>
  <c r="O21" i="13"/>
  <c r="H21" i="13"/>
  <c r="P19" i="13"/>
  <c r="P18" i="13"/>
  <c r="P17" i="13"/>
  <c r="P16" i="13"/>
  <c r="P15" i="13"/>
  <c r="P14" i="13"/>
  <c r="P13" i="13"/>
  <c r="P12" i="13"/>
  <c r="P11" i="13"/>
  <c r="P10" i="13"/>
  <c r="P9" i="13"/>
  <c r="P8" i="13"/>
  <c r="P7" i="13"/>
  <c r="O20" i="13"/>
  <c r="N20" i="13"/>
  <c r="M20" i="13"/>
  <c r="L20" i="13"/>
  <c r="K20" i="13"/>
  <c r="J20" i="13"/>
  <c r="I20" i="13"/>
  <c r="H20" i="13"/>
  <c r="G20" i="13"/>
  <c r="F20" i="13"/>
  <c r="E20" i="13"/>
  <c r="D20" i="13"/>
  <c r="C20" i="13"/>
  <c r="B20" i="13"/>
  <c r="P16" i="11" l="1"/>
  <c r="P21" i="12"/>
  <c r="P20" i="13"/>
  <c r="O17" i="16"/>
  <c r="N17" i="16"/>
  <c r="M17" i="16"/>
  <c r="L17" i="16"/>
  <c r="K17" i="16"/>
  <c r="J17" i="16"/>
  <c r="I17" i="16"/>
  <c r="H17" i="16"/>
  <c r="G17" i="16"/>
  <c r="F17" i="16"/>
  <c r="E17" i="16"/>
  <c r="D17" i="16"/>
  <c r="C17" i="16"/>
  <c r="B17" i="16"/>
  <c r="P16" i="16"/>
  <c r="P15" i="16"/>
  <c r="P14" i="16"/>
  <c r="P13" i="16"/>
  <c r="P12" i="16"/>
  <c r="P11" i="16"/>
  <c r="P10" i="16"/>
  <c r="P9" i="16"/>
  <c r="P8" i="16"/>
  <c r="P7" i="16"/>
  <c r="P17" i="16" s="1"/>
  <c r="C5" i="16"/>
  <c r="D5" i="16" s="1"/>
  <c r="E5" i="16" s="1"/>
  <c r="F5" i="16" s="1"/>
  <c r="G5" i="16" s="1"/>
  <c r="H5" i="16" s="1"/>
  <c r="I5" i="16" s="1"/>
  <c r="J5" i="16" s="1"/>
  <c r="K5" i="16" s="1"/>
  <c r="L5" i="16" s="1"/>
  <c r="M5" i="16" s="1"/>
  <c r="N5" i="16" s="1"/>
  <c r="O5" i="16" s="1"/>
  <c r="O20" i="15"/>
  <c r="N20" i="15"/>
  <c r="M20" i="15"/>
  <c r="L20" i="15"/>
  <c r="K20" i="15"/>
  <c r="J20" i="15"/>
  <c r="I20" i="15"/>
  <c r="H20" i="15"/>
  <c r="G20" i="15"/>
  <c r="F20" i="15"/>
  <c r="E20" i="15"/>
  <c r="D20" i="15"/>
  <c r="C20" i="15"/>
  <c r="B20" i="15"/>
  <c r="P19" i="15"/>
  <c r="P18" i="15"/>
  <c r="P17" i="15"/>
  <c r="P16" i="15"/>
  <c r="P15" i="15"/>
  <c r="P14" i="15"/>
  <c r="P13" i="15"/>
  <c r="P12" i="15"/>
  <c r="P11" i="15"/>
  <c r="P10" i="15"/>
  <c r="P9" i="15"/>
  <c r="P8" i="15"/>
  <c r="P7" i="15"/>
  <c r="P20" i="15" s="1"/>
  <c r="C5" i="15"/>
  <c r="D5" i="15" s="1"/>
  <c r="E5" i="15" s="1"/>
  <c r="F5" i="15" s="1"/>
  <c r="G5" i="15" s="1"/>
  <c r="H5" i="15" s="1"/>
  <c r="I5" i="15" s="1"/>
  <c r="J5" i="15" s="1"/>
  <c r="K5" i="15" s="1"/>
  <c r="L5" i="15" s="1"/>
  <c r="M5" i="15" s="1"/>
  <c r="N5" i="15" s="1"/>
  <c r="O5" i="15" s="1"/>
  <c r="O19" i="14"/>
  <c r="N19" i="14"/>
  <c r="M19" i="14"/>
  <c r="L19" i="14"/>
  <c r="K19" i="14"/>
  <c r="J19" i="14"/>
  <c r="I19" i="14"/>
  <c r="H19" i="14"/>
  <c r="G19" i="14"/>
  <c r="F19" i="14"/>
  <c r="E19" i="14"/>
  <c r="D19" i="14"/>
  <c r="C19" i="14"/>
  <c r="B19" i="14"/>
  <c r="P18" i="14"/>
  <c r="P17" i="14"/>
  <c r="P16" i="14"/>
  <c r="P15" i="14"/>
  <c r="P14" i="14"/>
  <c r="P13" i="14"/>
  <c r="P12" i="14"/>
  <c r="P11" i="14"/>
  <c r="P10" i="14"/>
  <c r="P9" i="14"/>
  <c r="P8" i="14"/>
  <c r="P7" i="14"/>
  <c r="P19" i="14" s="1"/>
  <c r="C5" i="14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C5" i="13"/>
  <c r="D5" i="13" s="1"/>
  <c r="E5" i="13" s="1"/>
  <c r="F5" i="13" s="1"/>
  <c r="G5" i="13" s="1"/>
  <c r="H5" i="13" s="1"/>
  <c r="I5" i="13" s="1"/>
  <c r="J5" i="13" s="1"/>
  <c r="K5" i="13" s="1"/>
  <c r="L5" i="13" s="1"/>
  <c r="M5" i="13" s="1"/>
  <c r="N5" i="13" s="1"/>
  <c r="O5" i="13" s="1"/>
  <c r="C5" i="12"/>
  <c r="D5" i="12" s="1"/>
  <c r="E5" i="12" s="1"/>
  <c r="F5" i="12" s="1"/>
  <c r="G5" i="12" s="1"/>
  <c r="H5" i="12" s="1"/>
  <c r="I5" i="12" s="1"/>
  <c r="J5" i="12" s="1"/>
  <c r="K5" i="12" s="1"/>
  <c r="L5" i="12" s="1"/>
  <c r="M5" i="12" s="1"/>
  <c r="N5" i="12" s="1"/>
  <c r="O5" i="12" s="1"/>
  <c r="C5" i="11"/>
  <c r="D5" i="11" s="1"/>
  <c r="E5" i="11" s="1"/>
  <c r="F5" i="11" s="1"/>
  <c r="G5" i="11" s="1"/>
  <c r="H5" i="11" s="1"/>
  <c r="I5" i="11" s="1"/>
  <c r="J5" i="11" s="1"/>
  <c r="K5" i="11" s="1"/>
  <c r="L5" i="11" s="1"/>
  <c r="M5" i="11" s="1"/>
  <c r="N5" i="11" s="1"/>
  <c r="O5" i="11" s="1"/>
  <c r="C5" i="10"/>
  <c r="D5" i="10" s="1"/>
  <c r="E5" i="10" s="1"/>
  <c r="F5" i="10" s="1"/>
  <c r="G5" i="10" s="1"/>
  <c r="H5" i="10" s="1"/>
  <c r="I5" i="10" s="1"/>
  <c r="J5" i="10" s="1"/>
  <c r="K5" i="10" s="1"/>
  <c r="L5" i="10" s="1"/>
  <c r="M5" i="10" s="1"/>
  <c r="N5" i="10" s="1"/>
  <c r="O5" i="10" s="1"/>
  <c r="O8" i="4" l="1"/>
  <c r="N8" i="4"/>
  <c r="M8" i="4"/>
  <c r="L8" i="4"/>
  <c r="K8" i="4"/>
  <c r="J8" i="4"/>
  <c r="I8" i="4"/>
  <c r="H8" i="4"/>
  <c r="G8" i="4"/>
  <c r="F8" i="4"/>
  <c r="E8" i="4"/>
  <c r="D8" i="4"/>
  <c r="C8" i="4"/>
  <c r="B8" i="4"/>
  <c r="P7" i="4"/>
  <c r="P8" i="4" s="1"/>
  <c r="E2" i="2" l="1"/>
  <c r="G2" i="2" s="1"/>
  <c r="D3" i="2" l="1"/>
  <c r="E3" i="2" s="1"/>
  <c r="G3" i="2" s="1"/>
  <c r="F2" i="2"/>
  <c r="I2" i="2" s="1"/>
  <c r="H2" i="2"/>
  <c r="J3" i="2" l="1"/>
  <c r="K2" i="2"/>
  <c r="J2" i="2"/>
  <c r="K3" i="2"/>
  <c r="F3" i="2"/>
  <c r="I3" i="2" s="1"/>
  <c r="D4" i="2"/>
  <c r="H3" i="2"/>
  <c r="E4" i="2" l="1"/>
  <c r="G4" i="2" s="1"/>
  <c r="D5" i="2" l="1"/>
  <c r="K4" i="2"/>
  <c r="F4" i="2"/>
  <c r="I4" i="2" s="1"/>
  <c r="H4" i="2"/>
  <c r="J4" i="2" l="1"/>
  <c r="E5" i="2"/>
  <c r="G5" i="2" s="1"/>
  <c r="J5" i="2" l="1"/>
  <c r="D6" i="2"/>
  <c r="K5" i="2"/>
  <c r="F5" i="2"/>
  <c r="I5" i="2" s="1"/>
  <c r="H5" i="2"/>
  <c r="E6" i="2" l="1"/>
  <c r="H6" i="2" l="1"/>
  <c r="G6" i="2"/>
  <c r="D7" i="2"/>
  <c r="K6" i="2"/>
  <c r="F6" i="2"/>
  <c r="I6" i="2" s="1"/>
  <c r="J6" i="2" l="1"/>
  <c r="E7" i="2"/>
  <c r="G7" i="2" s="1"/>
  <c r="J7" i="2" l="1"/>
  <c r="D8" i="2"/>
  <c r="K7" i="2"/>
  <c r="F7" i="2"/>
  <c r="I7" i="2" s="1"/>
  <c r="H7" i="2"/>
  <c r="E8" i="2" l="1"/>
  <c r="G8" i="2" s="1"/>
  <c r="H8" i="2" l="1"/>
  <c r="D9" i="2"/>
  <c r="K8" i="2"/>
  <c r="F8" i="2"/>
  <c r="I8" i="2" s="1"/>
  <c r="J8" i="2" l="1"/>
  <c r="E9" i="2"/>
  <c r="G9" i="2" s="1"/>
  <c r="J9" i="2" l="1"/>
  <c r="D10" i="2"/>
  <c r="K9" i="2"/>
  <c r="F9" i="2"/>
  <c r="I9" i="2" s="1"/>
  <c r="H9" i="2"/>
  <c r="E10" i="2" l="1"/>
  <c r="G10" i="2" s="1"/>
  <c r="H10" i="2" l="1"/>
  <c r="J10" i="2"/>
  <c r="D11" i="2"/>
  <c r="K10" i="2"/>
  <c r="F10" i="2"/>
  <c r="I10" i="2" s="1"/>
  <c r="E11" i="2" l="1"/>
  <c r="G11" i="2" s="1"/>
  <c r="D12" i="2" l="1"/>
  <c r="K11" i="2"/>
  <c r="F11" i="2"/>
  <c r="I11" i="2" s="1"/>
  <c r="H11" i="2"/>
  <c r="J11" i="2" l="1"/>
  <c r="E12" i="2"/>
  <c r="G12" i="2" s="1"/>
  <c r="H12" i="2" l="1"/>
  <c r="J12" i="2"/>
  <c r="D13" i="2"/>
  <c r="K12" i="2"/>
  <c r="F12" i="2"/>
  <c r="I12" i="2" s="1"/>
  <c r="E13" i="2" l="1"/>
  <c r="G13" i="2" s="1"/>
  <c r="H13" i="2" l="1"/>
  <c r="D14" i="2"/>
  <c r="K13" i="2"/>
  <c r="F13" i="2"/>
  <c r="I13" i="2" s="1"/>
  <c r="J13" i="2" l="1"/>
  <c r="E14" i="2"/>
  <c r="G14" i="2" s="1"/>
  <c r="H14" i="2" l="1"/>
  <c r="J14" i="2"/>
  <c r="D15" i="2"/>
  <c r="K14" i="2"/>
  <c r="F14" i="2"/>
  <c r="I14" i="2" s="1"/>
  <c r="E15" i="2" l="1"/>
  <c r="G15" i="2" s="1"/>
  <c r="H15" i="2" l="1"/>
  <c r="D16" i="2"/>
  <c r="K15" i="2"/>
  <c r="F15" i="2"/>
  <c r="I15" i="2" s="1"/>
  <c r="J15" i="2" l="1"/>
  <c r="E16" i="2"/>
  <c r="G16" i="2" s="1"/>
  <c r="H16" i="2" l="1"/>
  <c r="J16" i="2"/>
  <c r="D17" i="2"/>
  <c r="F16" i="2"/>
  <c r="I16" i="2" s="1"/>
  <c r="K16" i="2"/>
  <c r="E17" i="2" l="1"/>
  <c r="G17" i="2" s="1"/>
  <c r="H17" i="2" l="1"/>
  <c r="D18" i="2"/>
  <c r="K17" i="2"/>
  <c r="F17" i="2"/>
  <c r="I17" i="2" s="1"/>
  <c r="J17" i="2" l="1"/>
  <c r="E18" i="2"/>
  <c r="G18" i="2" s="1"/>
  <c r="H18" i="2" l="1"/>
  <c r="J18" i="2"/>
  <c r="D19" i="2"/>
  <c r="K18" i="2"/>
  <c r="F18" i="2"/>
  <c r="I18" i="2" s="1"/>
  <c r="E19" i="2" l="1"/>
  <c r="G19" i="2" s="1"/>
  <c r="H19" i="2" l="1"/>
  <c r="D20" i="2"/>
  <c r="K19" i="2"/>
  <c r="F19" i="2"/>
  <c r="I19" i="2" s="1"/>
  <c r="J19" i="2" l="1"/>
  <c r="E20" i="2"/>
  <c r="G20" i="2" s="1"/>
  <c r="J20" i="2" l="1"/>
  <c r="D21" i="2"/>
  <c r="K20" i="2"/>
  <c r="F20" i="2"/>
  <c r="I20" i="2" s="1"/>
  <c r="H20" i="2"/>
  <c r="E21" i="2" l="1"/>
  <c r="G21" i="2" s="1"/>
  <c r="H21" i="2" l="1"/>
  <c r="J21" i="2"/>
  <c r="D22" i="2"/>
  <c r="K21" i="2"/>
  <c r="F21" i="2"/>
  <c r="I21" i="2" s="1"/>
  <c r="E22" i="2" l="1"/>
  <c r="H22" i="2" l="1"/>
  <c r="G22" i="2"/>
  <c r="D23" i="2"/>
  <c r="K22" i="2"/>
  <c r="F22" i="2"/>
  <c r="I22" i="2" s="1"/>
  <c r="J22" i="2" l="1"/>
  <c r="E23" i="2"/>
  <c r="G23" i="2" s="1"/>
  <c r="J23" i="2" l="1"/>
  <c r="D24" i="2"/>
  <c r="K23" i="2"/>
  <c r="F23" i="2"/>
  <c r="I23" i="2" s="1"/>
  <c r="H23" i="2"/>
  <c r="E24" i="2" l="1"/>
  <c r="G24" i="2" s="1"/>
  <c r="D25" i="2" l="1"/>
  <c r="K24" i="2"/>
  <c r="F24" i="2"/>
  <c r="I24" i="2" s="1"/>
  <c r="H24" i="2"/>
  <c r="J24" i="2" l="1"/>
  <c r="E25" i="2"/>
  <c r="G25" i="2" s="1"/>
  <c r="J25" i="2" l="1"/>
  <c r="D26" i="2"/>
  <c r="K25" i="2"/>
  <c r="F25" i="2"/>
  <c r="I25" i="2" s="1"/>
  <c r="H25" i="2"/>
  <c r="E26" i="2" l="1"/>
  <c r="G26" i="2" s="1"/>
  <c r="D27" i="2" l="1"/>
  <c r="K26" i="2"/>
  <c r="F26" i="2"/>
  <c r="I26" i="2" s="1"/>
  <c r="H26" i="2"/>
  <c r="J26" i="2" l="1"/>
  <c r="E27" i="2"/>
  <c r="G27" i="2" s="1"/>
  <c r="H27" i="2" l="1"/>
  <c r="J27" i="2"/>
  <c r="K27" i="2"/>
  <c r="F27" i="2"/>
  <c r="I27" i="2" s="1"/>
  <c r="D28" i="2"/>
  <c r="E28" i="2" l="1"/>
  <c r="G28" i="2" s="1"/>
  <c r="H28" i="2" l="1"/>
  <c r="F28" i="2"/>
  <c r="I28" i="2" s="1"/>
  <c r="D29" i="2"/>
  <c r="K28" i="2"/>
  <c r="J28" i="2" l="1"/>
  <c r="B3" i="19"/>
  <c r="B5" i="19"/>
  <c r="C5" i="19" s="1"/>
  <c r="D5" i="19" s="1"/>
  <c r="E5" i="19" s="1"/>
  <c r="F5" i="19" s="1"/>
  <c r="G5" i="19" s="1"/>
  <c r="H5" i="19" s="1"/>
  <c r="I5" i="19" s="1"/>
  <c r="J5" i="19" s="1"/>
  <c r="K5" i="19" s="1"/>
  <c r="L5" i="19" s="1"/>
  <c r="M5" i="19" s="1"/>
  <c r="N5" i="19" s="1"/>
  <c r="O5" i="19" s="1"/>
  <c r="E29" i="2"/>
  <c r="G29" i="2" s="1"/>
  <c r="H29" i="2" l="1"/>
  <c r="J29" i="2"/>
  <c r="K29" i="2"/>
  <c r="D30" i="2"/>
  <c r="F29" i="2"/>
  <c r="I29" i="2" s="1"/>
  <c r="B3" i="20" l="1"/>
  <c r="B5" i="20"/>
  <c r="C5" i="20" s="1"/>
  <c r="D5" i="20" s="1"/>
  <c r="E5" i="20" s="1"/>
  <c r="F5" i="20" s="1"/>
  <c r="G5" i="20" s="1"/>
  <c r="H5" i="20" s="1"/>
  <c r="I5" i="20" s="1"/>
  <c r="J5" i="20" s="1"/>
  <c r="K5" i="20" s="1"/>
  <c r="L5" i="20" s="1"/>
  <c r="M5" i="20" s="1"/>
  <c r="N5" i="20" s="1"/>
  <c r="O5" i="20" s="1"/>
  <c r="E30" i="2"/>
  <c r="G30" i="2" s="1"/>
  <c r="H30" i="2" l="1"/>
  <c r="K30" i="2"/>
  <c r="F30" i="2"/>
  <c r="D31" i="2"/>
  <c r="J30" i="2" l="1"/>
  <c r="I30" i="2"/>
  <c r="B3" i="24"/>
  <c r="B5" i="24"/>
  <c r="C5" i="24" s="1"/>
  <c r="D5" i="24" s="1"/>
  <c r="E5" i="24" s="1"/>
  <c r="F5" i="24" s="1"/>
  <c r="G5" i="24" s="1"/>
  <c r="H5" i="24" s="1"/>
  <c r="I5" i="24" s="1"/>
  <c r="J5" i="24" s="1"/>
  <c r="K5" i="24" s="1"/>
  <c r="L5" i="24" s="1"/>
  <c r="M5" i="24" s="1"/>
  <c r="N5" i="24" s="1"/>
  <c r="O5" i="24" s="1"/>
  <c r="E31" i="2"/>
  <c r="G31" i="2" s="1"/>
  <c r="J31" i="2" l="1"/>
  <c r="H31" i="2"/>
  <c r="K31" i="2"/>
  <c r="D32" i="2"/>
  <c r="F31" i="2"/>
  <c r="I31" i="2" s="1"/>
  <c r="B5" i="25" l="1"/>
  <c r="C5" i="25" s="1"/>
  <c r="D5" i="25" s="1"/>
  <c r="E5" i="25" s="1"/>
  <c r="F5" i="25" s="1"/>
  <c r="G5" i="25" s="1"/>
  <c r="H5" i="25" s="1"/>
  <c r="I5" i="25" s="1"/>
  <c r="J5" i="25" s="1"/>
  <c r="K5" i="25" s="1"/>
  <c r="L5" i="25" s="1"/>
  <c r="M5" i="25" s="1"/>
  <c r="N5" i="25" s="1"/>
  <c r="O5" i="25" s="1"/>
  <c r="B3" i="25"/>
  <c r="E32" i="2"/>
  <c r="G32" i="2" s="1"/>
  <c r="H32" i="2" l="1"/>
  <c r="K32" i="2"/>
  <c r="F32" i="2"/>
  <c r="D33" i="2"/>
  <c r="J32" i="2" l="1"/>
  <c r="I32" i="2"/>
  <c r="B5" i="23"/>
  <c r="C5" i="23" s="1"/>
  <c r="D5" i="23" s="1"/>
  <c r="E5" i="23" s="1"/>
  <c r="F5" i="23" s="1"/>
  <c r="G5" i="23" s="1"/>
  <c r="H5" i="23" s="1"/>
  <c r="I5" i="23" s="1"/>
  <c r="J5" i="23" s="1"/>
  <c r="K5" i="23" s="1"/>
  <c r="L5" i="23" s="1"/>
  <c r="M5" i="23" s="1"/>
  <c r="N5" i="23" s="1"/>
  <c r="O5" i="23" s="1"/>
  <c r="B3" i="23"/>
  <c r="E33" i="2"/>
  <c r="G33" i="2" s="1"/>
  <c r="J33" i="2" l="1"/>
  <c r="H33" i="2"/>
  <c r="K33" i="2"/>
  <c r="F33" i="2"/>
  <c r="I33" i="2" s="1"/>
  <c r="D34" i="2"/>
  <c r="B3" i="22" l="1"/>
  <c r="B5" i="22"/>
  <c r="C5" i="22" s="1"/>
  <c r="D5" i="22" s="1"/>
  <c r="E5" i="22" s="1"/>
  <c r="F5" i="22" s="1"/>
  <c r="G5" i="22" s="1"/>
  <c r="H5" i="22" s="1"/>
  <c r="I5" i="22" s="1"/>
  <c r="J5" i="22" s="1"/>
  <c r="K5" i="22" s="1"/>
  <c r="L5" i="22" s="1"/>
  <c r="M5" i="22" s="1"/>
  <c r="N5" i="22" s="1"/>
  <c r="O5" i="22" s="1"/>
  <c r="E34" i="2"/>
  <c r="G34" i="2" s="1"/>
  <c r="H34" i="2" l="1"/>
  <c r="J34" i="2"/>
  <c r="K34" i="2"/>
  <c r="F34" i="2"/>
  <c r="I34" i="2" s="1"/>
  <c r="D35" i="2"/>
  <c r="B3" i="28" l="1"/>
  <c r="B5" i="28"/>
  <c r="C5" i="28" s="1"/>
  <c r="D5" i="28" s="1"/>
  <c r="E5" i="28" s="1"/>
  <c r="F5" i="28" s="1"/>
  <c r="G5" i="28" s="1"/>
  <c r="H5" i="28" s="1"/>
  <c r="I5" i="28" s="1"/>
  <c r="J5" i="28" s="1"/>
  <c r="K5" i="28" s="1"/>
  <c r="L5" i="28" s="1"/>
  <c r="M5" i="28" s="1"/>
  <c r="N5" i="28" s="1"/>
  <c r="O5" i="28" s="1"/>
  <c r="E35" i="2"/>
  <c r="G35" i="2" s="1"/>
  <c r="H35" i="2" l="1"/>
  <c r="K35" i="2"/>
  <c r="D36" i="2"/>
  <c r="F35" i="2"/>
  <c r="I35" i="2" s="1"/>
  <c r="B3" i="27" l="1"/>
  <c r="B5" i="27"/>
  <c r="C5" i="27" s="1"/>
  <c r="D5" i="27" s="1"/>
  <c r="E5" i="27" s="1"/>
  <c r="F5" i="27" s="1"/>
  <c r="G5" i="27" s="1"/>
  <c r="H5" i="27" s="1"/>
  <c r="I5" i="27" s="1"/>
  <c r="J5" i="27" s="1"/>
  <c r="K5" i="27" s="1"/>
  <c r="L5" i="27" s="1"/>
  <c r="M5" i="27" s="1"/>
  <c r="N5" i="27" s="1"/>
  <c r="O5" i="27" s="1"/>
  <c r="J35" i="2"/>
  <c r="E36" i="2"/>
  <c r="G36" i="2" s="1"/>
  <c r="H36" i="2" l="1"/>
  <c r="J36" i="2"/>
  <c r="K36" i="2"/>
  <c r="D37" i="2"/>
  <c r="F36" i="2"/>
  <c r="I36" i="2" s="1"/>
  <c r="B5" i="26" l="1"/>
  <c r="C5" i="26" s="1"/>
  <c r="D5" i="26" s="1"/>
  <c r="E5" i="26" s="1"/>
  <c r="F5" i="26" s="1"/>
  <c r="G5" i="26" s="1"/>
  <c r="H5" i="26" s="1"/>
  <c r="I5" i="26" s="1"/>
  <c r="J5" i="26" s="1"/>
  <c r="K5" i="26" s="1"/>
  <c r="L5" i="26" s="1"/>
  <c r="M5" i="26" s="1"/>
  <c r="N5" i="26" s="1"/>
  <c r="O5" i="26" s="1"/>
  <c r="B3" i="26"/>
  <c r="E37" i="2"/>
  <c r="G37" i="2" s="1"/>
  <c r="H37" i="2" l="1"/>
  <c r="K37" i="2"/>
  <c r="D38" i="2"/>
  <c r="F37" i="2"/>
  <c r="I37" i="2" s="1"/>
  <c r="B3" i="29" l="1"/>
  <c r="B5" i="29"/>
  <c r="C5" i="29" s="1"/>
  <c r="D5" i="29" s="1"/>
  <c r="E5" i="29" s="1"/>
  <c r="F5" i="29" s="1"/>
  <c r="G5" i="29" s="1"/>
  <c r="H5" i="29" s="1"/>
  <c r="I5" i="29" s="1"/>
  <c r="J5" i="29" s="1"/>
  <c r="K5" i="29" s="1"/>
  <c r="L5" i="29" s="1"/>
  <c r="M5" i="29" s="1"/>
  <c r="N5" i="29" s="1"/>
  <c r="O5" i="29" s="1"/>
  <c r="J37" i="2"/>
  <c r="E38" i="2"/>
  <c r="G38" i="2" s="1"/>
  <c r="H38" i="2" l="1"/>
  <c r="J38" i="2"/>
  <c r="K38" i="2"/>
  <c r="D39" i="2"/>
  <c r="F38" i="2"/>
  <c r="I38" i="2" s="1"/>
  <c r="B3" i="30" l="1"/>
  <c r="B5" i="30"/>
  <c r="C5" i="30" s="1"/>
  <c r="D5" i="30" s="1"/>
  <c r="E5" i="30" s="1"/>
  <c r="F5" i="30" s="1"/>
  <c r="G5" i="30" s="1"/>
  <c r="H5" i="30" s="1"/>
  <c r="I5" i="30" s="1"/>
  <c r="J5" i="30" s="1"/>
  <c r="K5" i="30" s="1"/>
  <c r="L5" i="30" s="1"/>
  <c r="M5" i="30" s="1"/>
  <c r="N5" i="30" s="1"/>
  <c r="O5" i="30" s="1"/>
  <c r="E39" i="2"/>
  <c r="G39" i="2" s="1"/>
  <c r="H39" i="2" l="1"/>
  <c r="K39" i="2"/>
  <c r="D40" i="2"/>
  <c r="F39" i="2"/>
  <c r="I39" i="2" s="1"/>
  <c r="B5" i="31" l="1"/>
  <c r="C5" i="31" s="1"/>
  <c r="D5" i="31" s="1"/>
  <c r="E5" i="31" s="1"/>
  <c r="F5" i="31" s="1"/>
  <c r="G5" i="31" s="1"/>
  <c r="H5" i="31" s="1"/>
  <c r="I5" i="31" s="1"/>
  <c r="J5" i="31" s="1"/>
  <c r="K5" i="31" s="1"/>
  <c r="L5" i="31" s="1"/>
  <c r="M5" i="31" s="1"/>
  <c r="N5" i="31" s="1"/>
  <c r="O5" i="31" s="1"/>
  <c r="B3" i="31"/>
  <c r="J39" i="2"/>
  <c r="E40" i="2"/>
  <c r="G40" i="2" s="1"/>
  <c r="H40" i="2" l="1"/>
  <c r="J40" i="2"/>
  <c r="K40" i="2"/>
  <c r="D41" i="2"/>
  <c r="F40" i="2"/>
  <c r="I40" i="2" s="1"/>
  <c r="B5" i="32" l="1"/>
  <c r="C5" i="32" s="1"/>
  <c r="D5" i="32" s="1"/>
  <c r="E5" i="32" s="1"/>
  <c r="F5" i="32" s="1"/>
  <c r="G5" i="32" s="1"/>
  <c r="H5" i="32" s="1"/>
  <c r="I5" i="32" s="1"/>
  <c r="J5" i="32" s="1"/>
  <c r="K5" i="32" s="1"/>
  <c r="L5" i="32" s="1"/>
  <c r="M5" i="32" s="1"/>
  <c r="N5" i="32" s="1"/>
  <c r="O5" i="32" s="1"/>
  <c r="B3" i="32"/>
  <c r="E41" i="2"/>
  <c r="G41" i="2" s="1"/>
  <c r="H41" i="2" l="1"/>
  <c r="K41" i="2"/>
  <c r="D42" i="2"/>
  <c r="F41" i="2"/>
  <c r="I41" i="2" s="1"/>
  <c r="B5" i="34" l="1"/>
  <c r="C5" i="34" s="1"/>
  <c r="D5" i="34" s="1"/>
  <c r="E5" i="34" s="1"/>
  <c r="F5" i="34" s="1"/>
  <c r="G5" i="34" s="1"/>
  <c r="H5" i="34" s="1"/>
  <c r="I5" i="34" s="1"/>
  <c r="J5" i="34" s="1"/>
  <c r="K5" i="34" s="1"/>
  <c r="L5" i="34" s="1"/>
  <c r="M5" i="34" s="1"/>
  <c r="N5" i="34" s="1"/>
  <c r="O5" i="34" s="1"/>
  <c r="B3" i="34"/>
  <c r="J41" i="2"/>
  <c r="E42" i="2"/>
  <c r="G42" i="2" s="1"/>
  <c r="H42" i="2"/>
  <c r="J42" i="2" l="1"/>
  <c r="K42" i="2"/>
  <c r="D43" i="2"/>
  <c r="F42" i="2"/>
  <c r="I42" i="2" s="1"/>
  <c r="B3" i="33" l="1"/>
  <c r="B5" i="33"/>
  <c r="C5" i="33" s="1"/>
  <c r="D5" i="33" s="1"/>
  <c r="E5" i="33" s="1"/>
  <c r="F5" i="33" s="1"/>
  <c r="G5" i="33" s="1"/>
  <c r="H5" i="33" s="1"/>
  <c r="I5" i="33" s="1"/>
  <c r="J5" i="33" s="1"/>
  <c r="K5" i="33" s="1"/>
  <c r="L5" i="33" s="1"/>
  <c r="M5" i="33" s="1"/>
  <c r="N5" i="33" s="1"/>
  <c r="O5" i="33" s="1"/>
  <c r="E43" i="2"/>
  <c r="H43" i="2" l="1"/>
  <c r="G43" i="2"/>
  <c r="K43" i="2"/>
  <c r="D44" i="2"/>
  <c r="F43" i="2"/>
  <c r="I43" i="2" s="1"/>
  <c r="B5" i="38" l="1"/>
  <c r="C5" i="38" s="1"/>
  <c r="D5" i="38" s="1"/>
  <c r="E5" i="38" s="1"/>
  <c r="F5" i="38" s="1"/>
  <c r="G5" i="38" s="1"/>
  <c r="H5" i="38" s="1"/>
  <c r="I5" i="38" s="1"/>
  <c r="J5" i="38" s="1"/>
  <c r="K5" i="38" s="1"/>
  <c r="L5" i="38" s="1"/>
  <c r="M5" i="38" s="1"/>
  <c r="N5" i="38" s="1"/>
  <c r="O5" i="38" s="1"/>
  <c r="B3" i="38"/>
  <c r="J43" i="2"/>
  <c r="E44" i="2"/>
  <c r="G44" i="2" s="1"/>
  <c r="H44" i="2" l="1"/>
  <c r="J44" i="2"/>
  <c r="K44" i="2"/>
  <c r="D45" i="2"/>
  <c r="F44" i="2"/>
  <c r="I44" i="2" s="1"/>
  <c r="B3" i="37" l="1"/>
  <c r="B5" i="37"/>
  <c r="C5" i="37" s="1"/>
  <c r="D5" i="37" s="1"/>
  <c r="E5" i="37" s="1"/>
  <c r="F5" i="37" s="1"/>
  <c r="G5" i="37" s="1"/>
  <c r="H5" i="37" s="1"/>
  <c r="I5" i="37" s="1"/>
  <c r="J5" i="37" s="1"/>
  <c r="K5" i="37" s="1"/>
  <c r="L5" i="37" s="1"/>
  <c r="M5" i="37" s="1"/>
  <c r="N5" i="37" s="1"/>
  <c r="O5" i="37" s="1"/>
  <c r="E45" i="2"/>
  <c r="G45" i="2" s="1"/>
  <c r="H45" i="2" l="1"/>
  <c r="K45" i="2"/>
  <c r="D46" i="2"/>
  <c r="F45" i="2"/>
  <c r="I45" i="2" s="1"/>
  <c r="J45" i="2" l="1"/>
  <c r="E46" i="2"/>
  <c r="G46" i="2" s="1"/>
  <c r="H46" i="2" l="1"/>
  <c r="J46" i="2"/>
  <c r="K46" i="2"/>
  <c r="D47" i="2"/>
  <c r="F46" i="2"/>
  <c r="I46" i="2" s="1"/>
  <c r="B3" i="35" l="1"/>
  <c r="B5" i="35"/>
  <c r="C5" i="35" s="1"/>
  <c r="D5" i="35" s="1"/>
  <c r="E5" i="35" s="1"/>
  <c r="F5" i="35" s="1"/>
  <c r="G5" i="35" s="1"/>
  <c r="H5" i="35" s="1"/>
  <c r="I5" i="35" s="1"/>
  <c r="J5" i="35" s="1"/>
  <c r="K5" i="35" s="1"/>
  <c r="L5" i="35" s="1"/>
  <c r="M5" i="35" s="1"/>
  <c r="N5" i="35" s="1"/>
  <c r="O5" i="35" s="1"/>
  <c r="E47" i="2"/>
  <c r="G47" i="2" s="1"/>
  <c r="H47" i="2" l="1"/>
  <c r="J47" i="2"/>
  <c r="K47" i="2"/>
  <c r="D48" i="2"/>
  <c r="F47" i="2"/>
  <c r="I47" i="2" s="1"/>
  <c r="B3" i="39" l="1"/>
  <c r="B5" i="39"/>
  <c r="C5" i="39" s="1"/>
  <c r="D5" i="39" s="1"/>
  <c r="E5" i="39" s="1"/>
  <c r="F5" i="39" s="1"/>
  <c r="G5" i="39" s="1"/>
  <c r="H5" i="39" s="1"/>
  <c r="I5" i="39" s="1"/>
  <c r="J5" i="39" s="1"/>
  <c r="K5" i="39" s="1"/>
  <c r="L5" i="39" s="1"/>
  <c r="M5" i="39" s="1"/>
  <c r="N5" i="39" s="1"/>
  <c r="O5" i="39" s="1"/>
  <c r="E48" i="2"/>
  <c r="G48" i="2" s="1"/>
  <c r="H48" i="2" l="1"/>
  <c r="K48" i="2"/>
  <c r="D49" i="2"/>
  <c r="F48" i="2"/>
  <c r="I48" i="2" s="1"/>
  <c r="J48" i="2" l="1"/>
  <c r="E49" i="2"/>
  <c r="G49" i="2" s="1"/>
  <c r="H49" i="2" l="1"/>
  <c r="J49" i="2"/>
  <c r="K49" i="2"/>
  <c r="D50" i="2"/>
  <c r="F49" i="2"/>
  <c r="I49" i="2" s="1"/>
  <c r="E50" i="2" l="1"/>
  <c r="G50" i="2" s="1"/>
  <c r="H50" i="2" l="1"/>
  <c r="K50" i="2"/>
  <c r="D51" i="2"/>
  <c r="F50" i="2"/>
  <c r="I50" i="2" s="1"/>
  <c r="J50" i="2" l="1"/>
  <c r="E51" i="2"/>
  <c r="G51" i="2" s="1"/>
  <c r="H51" i="2" l="1"/>
  <c r="J51" i="2"/>
  <c r="K51" i="2"/>
  <c r="D52" i="2"/>
  <c r="F51" i="2"/>
  <c r="I51" i="2" s="1"/>
  <c r="E52" i="2" l="1"/>
  <c r="G52" i="2" s="1"/>
  <c r="H52" i="2" l="1"/>
  <c r="K52" i="2"/>
  <c r="F52" i="2"/>
  <c r="I52" i="2" s="1"/>
  <c r="D53" i="2"/>
  <c r="J52" i="2" l="1"/>
  <c r="E53" i="2"/>
  <c r="G53" i="2" s="1"/>
  <c r="J53" i="2" l="1"/>
  <c r="H53" i="2"/>
  <c r="F53" i="2"/>
  <c r="I53" i="2" s="1"/>
  <c r="K53" i="2"/>
  <c r="D54" i="2"/>
  <c r="E54" i="2" l="1"/>
  <c r="G54" i="2" s="1"/>
  <c r="H54" i="2" l="1"/>
  <c r="K54" i="2"/>
  <c r="F54" i="2"/>
  <c r="D55" i="2"/>
  <c r="J54" i="2" l="1"/>
  <c r="I54" i="2"/>
  <c r="E55" i="2"/>
  <c r="G55" i="2" s="1"/>
  <c r="J55" i="2" l="1"/>
  <c r="H55" i="2"/>
  <c r="K55" i="2"/>
  <c r="F55" i="2"/>
  <c r="I55" i="2" s="1"/>
  <c r="D56" i="2"/>
  <c r="E56" i="2" l="1"/>
  <c r="G56" i="2" s="1"/>
  <c r="H56" i="2" l="1"/>
  <c r="K56" i="2"/>
  <c r="D57" i="2"/>
  <c r="F56" i="2"/>
  <c r="I56" i="2" s="1"/>
  <c r="J56" i="2" l="1"/>
  <c r="E57" i="2"/>
  <c r="G57" i="2" s="1"/>
  <c r="J57" i="2" l="1"/>
  <c r="H57" i="2"/>
  <c r="K57" i="2"/>
  <c r="F57" i="2"/>
  <c r="I57" i="2" s="1"/>
  <c r="D58" i="2"/>
  <c r="E58" i="2" l="1"/>
  <c r="G58" i="2" s="1"/>
  <c r="H58" i="2" l="1"/>
  <c r="K58" i="2"/>
  <c r="D59" i="2"/>
  <c r="F58" i="2"/>
  <c r="I58" i="2" s="1"/>
  <c r="J58" i="2" l="1"/>
  <c r="E59" i="2"/>
  <c r="G59" i="2" s="1"/>
  <c r="J59" i="2" l="1"/>
  <c r="K59" i="2"/>
  <c r="F59" i="2"/>
  <c r="I59" i="2" s="1"/>
  <c r="D60" i="2"/>
  <c r="H59" i="2"/>
  <c r="E60" i="2" l="1"/>
  <c r="G60" i="2" s="1"/>
  <c r="J60" i="2" l="1"/>
  <c r="H60" i="2"/>
  <c r="K60" i="2"/>
  <c r="F60" i="2"/>
  <c r="I60" i="2" s="1"/>
  <c r="D61" i="2"/>
  <c r="E61" i="2" l="1"/>
  <c r="G61" i="2" s="1"/>
  <c r="H61" i="2" l="1"/>
  <c r="K61" i="2"/>
  <c r="D62" i="2"/>
  <c r="F61" i="2"/>
  <c r="I61" i="2" s="1"/>
  <c r="J61" i="2" l="1"/>
  <c r="E62" i="2"/>
  <c r="G62" i="2" s="1"/>
  <c r="H62" i="2" l="1"/>
  <c r="J62" i="2"/>
  <c r="K62" i="2"/>
  <c r="D63" i="2"/>
  <c r="F62" i="2"/>
  <c r="I62" i="2" s="1"/>
  <c r="E63" i="2" l="1"/>
  <c r="G63" i="2" s="1"/>
  <c r="H63" i="2" l="1"/>
  <c r="K63" i="2"/>
  <c r="F63" i="2"/>
  <c r="D64" i="2"/>
  <c r="J63" i="2" l="1"/>
  <c r="I63" i="2"/>
  <c r="E64" i="2"/>
  <c r="G64" i="2" s="1"/>
  <c r="H64" i="2" l="1"/>
  <c r="J64" i="2"/>
  <c r="K64" i="2"/>
  <c r="F64" i="2"/>
  <c r="I64" i="2" s="1"/>
  <c r="D65" i="2"/>
  <c r="E65" i="2" l="1"/>
  <c r="G65" i="2" s="1"/>
  <c r="H65" i="2" l="1"/>
  <c r="K65" i="2"/>
  <c r="D66" i="2"/>
  <c r="F65" i="2"/>
  <c r="I65" i="2" s="1"/>
  <c r="J65" i="2" l="1"/>
  <c r="E66" i="2"/>
  <c r="G66" i="2" s="1"/>
  <c r="H66" i="2" l="1"/>
  <c r="J66" i="2"/>
  <c r="K66" i="2"/>
  <c r="D67" i="2"/>
  <c r="F66" i="2"/>
  <c r="I66" i="2" s="1"/>
  <c r="E67" i="2" l="1"/>
  <c r="G67" i="2" s="1"/>
  <c r="H67" i="2" l="1"/>
  <c r="K67" i="2"/>
  <c r="F67" i="2"/>
  <c r="D68" i="2"/>
  <c r="J67" i="2" l="1"/>
  <c r="I67" i="2"/>
  <c r="E68" i="2"/>
  <c r="G68" i="2" s="1"/>
  <c r="J68" i="2" l="1"/>
  <c r="H68" i="2"/>
  <c r="K68" i="2"/>
  <c r="F68" i="2"/>
  <c r="I68" i="2" s="1"/>
  <c r="D69" i="2"/>
  <c r="E69" i="2" l="1"/>
  <c r="G69" i="2" s="1"/>
  <c r="H69" i="2" l="1"/>
  <c r="K69" i="2"/>
  <c r="D70" i="2"/>
  <c r="F69" i="2"/>
  <c r="I69" i="2" s="1"/>
  <c r="J69" i="2" l="1"/>
  <c r="E70" i="2"/>
  <c r="G70" i="2" s="1"/>
  <c r="H70" i="2" l="1"/>
  <c r="J70" i="2"/>
  <c r="K70" i="2"/>
  <c r="D71" i="2"/>
  <c r="F70" i="2"/>
  <c r="I70" i="2" s="1"/>
  <c r="E71" i="2" l="1"/>
  <c r="G71" i="2" s="1"/>
  <c r="H71" i="2" l="1"/>
  <c r="J71" i="2"/>
  <c r="K71" i="2"/>
  <c r="F71" i="2"/>
  <c r="I71" i="2" s="1"/>
  <c r="D72" i="2"/>
  <c r="B5" i="36" l="1"/>
  <c r="C5" i="36" s="1"/>
  <c r="D5" i="36" s="1"/>
  <c r="E5" i="36" s="1"/>
  <c r="F5" i="36" s="1"/>
  <c r="G5" i="36" s="1"/>
  <c r="H5" i="36" s="1"/>
  <c r="I5" i="36" s="1"/>
  <c r="J5" i="36" s="1"/>
  <c r="K5" i="36" s="1"/>
  <c r="L5" i="36" s="1"/>
  <c r="M5" i="36" s="1"/>
  <c r="N5" i="36" s="1"/>
  <c r="O5" i="36" s="1"/>
  <c r="B3" i="36"/>
  <c r="E72" i="2"/>
  <c r="G72" i="2" s="1"/>
  <c r="H72" i="2" l="1"/>
  <c r="K72" i="2"/>
  <c r="F72" i="2"/>
  <c r="I72" i="2" s="1"/>
  <c r="D73" i="2"/>
  <c r="J72" i="2" l="1"/>
  <c r="E73" i="2"/>
  <c r="G73" i="2" s="1"/>
  <c r="H73" i="2" l="1"/>
  <c r="J73" i="2"/>
  <c r="K73" i="2"/>
  <c r="D74" i="2"/>
  <c r="F73" i="2"/>
  <c r="I73" i="2" s="1"/>
  <c r="E74" i="2" l="1"/>
  <c r="G74" i="2" s="1"/>
  <c r="H74" i="2" l="1"/>
  <c r="K74" i="2"/>
  <c r="D75" i="2"/>
  <c r="F74" i="2"/>
  <c r="I74" i="2" s="1"/>
  <c r="J74" i="2" l="1"/>
  <c r="E75" i="2"/>
  <c r="G75" i="2" s="1"/>
  <c r="H75" i="2" l="1"/>
  <c r="J75" i="2"/>
  <c r="K75" i="2"/>
  <c r="D76" i="2"/>
  <c r="F75" i="2"/>
  <c r="I75" i="2" s="1"/>
  <c r="E76" i="2" l="1"/>
  <c r="G76" i="2" s="1"/>
  <c r="H76" i="2" l="1"/>
  <c r="K76" i="2"/>
  <c r="D77" i="2"/>
  <c r="F76" i="2"/>
  <c r="I76" i="2" s="1"/>
  <c r="J76" i="2" l="1"/>
  <c r="E77" i="2"/>
  <c r="G77" i="2" s="1"/>
  <c r="H77" i="2" l="1"/>
  <c r="J77" i="2"/>
  <c r="K77" i="2"/>
  <c r="D78" i="2"/>
  <c r="F77" i="2"/>
  <c r="I77" i="2" s="1"/>
  <c r="E78" i="2" l="1"/>
  <c r="G78" i="2" s="1"/>
  <c r="H78" i="2" l="1"/>
  <c r="K78" i="2"/>
  <c r="D79" i="2"/>
  <c r="F78" i="2"/>
  <c r="I78" i="2" s="1"/>
  <c r="J78" i="2" l="1"/>
  <c r="E79" i="2"/>
  <c r="G79" i="2" s="1"/>
  <c r="H79" i="2" l="1"/>
  <c r="J79" i="2"/>
  <c r="K79" i="2"/>
  <c r="D80" i="2"/>
  <c r="F79" i="2"/>
  <c r="I79" i="2" s="1"/>
  <c r="E80" i="2" l="1"/>
  <c r="G80" i="2" s="1"/>
  <c r="H80" i="2" l="1"/>
  <c r="K80" i="2"/>
  <c r="D81" i="2"/>
  <c r="F80" i="2"/>
  <c r="I80" i="2" s="1"/>
  <c r="J80" i="2" l="1"/>
  <c r="E81" i="2"/>
  <c r="G81" i="2" s="1"/>
  <c r="J81" i="2" l="1"/>
  <c r="H81" i="2"/>
  <c r="K81" i="2"/>
  <c r="F81" i="2"/>
  <c r="I81" i="2" s="1"/>
  <c r="D82" i="2"/>
  <c r="E82" i="2" l="1"/>
  <c r="G82" i="2" s="1"/>
  <c r="H82" i="2" l="1"/>
  <c r="K82" i="2"/>
  <c r="D83" i="2"/>
  <c r="F82" i="2"/>
  <c r="I82" i="2" s="1"/>
  <c r="J82" i="2" l="1"/>
  <c r="E83" i="2"/>
  <c r="G83" i="2" s="1"/>
  <c r="H83" i="2" l="1"/>
  <c r="J83" i="2"/>
  <c r="K83" i="2"/>
  <c r="D84" i="2"/>
  <c r="F83" i="2"/>
  <c r="I83" i="2" s="1"/>
  <c r="E84" i="2" l="1"/>
  <c r="G84" i="2" s="1"/>
  <c r="H84" i="2" l="1"/>
  <c r="K84" i="2"/>
  <c r="F84" i="2"/>
  <c r="D85" i="2"/>
  <c r="J84" i="2" l="1"/>
  <c r="I84" i="2"/>
  <c r="E85" i="2"/>
  <c r="G85" i="2" s="1"/>
  <c r="J85" i="2" l="1"/>
  <c r="H85" i="2"/>
  <c r="K85" i="2"/>
  <c r="F85" i="2"/>
  <c r="I85" i="2" s="1"/>
  <c r="D86" i="2"/>
  <c r="E86" i="2" l="1"/>
  <c r="G86" i="2" s="1"/>
  <c r="H86" i="2" l="1"/>
  <c r="J86" i="2"/>
  <c r="K86" i="2"/>
  <c r="D87" i="2"/>
  <c r="F86" i="2"/>
  <c r="I86" i="2" s="1"/>
  <c r="E87" i="2" l="1"/>
  <c r="G87" i="2" s="1"/>
  <c r="K87" i="2" l="1"/>
  <c r="F87" i="2"/>
  <c r="I87" i="2" s="1"/>
  <c r="D88" i="2"/>
  <c r="H87" i="2"/>
  <c r="J87" i="2" l="1"/>
  <c r="E88" i="2"/>
  <c r="G88" i="2" s="1"/>
  <c r="H88" i="2" l="1"/>
  <c r="J88" i="2"/>
  <c r="K88" i="2"/>
  <c r="F88" i="2"/>
  <c r="I88" i="2" s="1"/>
  <c r="D89" i="2"/>
  <c r="E89" i="2" l="1"/>
  <c r="G89" i="2" s="1"/>
  <c r="H89" i="2" l="1"/>
  <c r="K89" i="2"/>
  <c r="F89" i="2"/>
  <c r="I89" i="2" s="1"/>
  <c r="D90" i="2"/>
  <c r="J89" i="2" l="1"/>
  <c r="E90" i="2"/>
  <c r="G90" i="2" s="1"/>
  <c r="H90" i="2" l="1"/>
  <c r="J90" i="2"/>
  <c r="K90" i="2"/>
  <c r="D91" i="2"/>
  <c r="F90" i="2"/>
  <c r="I90" i="2" s="1"/>
  <c r="E91" i="2" l="1"/>
  <c r="G91" i="2" s="1"/>
  <c r="H91" i="2" l="1"/>
  <c r="K91" i="2"/>
  <c r="D92" i="2"/>
  <c r="F91" i="2"/>
  <c r="I91" i="2" s="1"/>
  <c r="J91" i="2" l="1"/>
  <c r="E92" i="2"/>
  <c r="G92" i="2" s="1"/>
  <c r="H92" i="2" l="1"/>
  <c r="J92" i="2"/>
  <c r="K92" i="2"/>
  <c r="D93" i="2"/>
  <c r="F92" i="2"/>
  <c r="I92" i="2" s="1"/>
  <c r="E93" i="2" l="1"/>
  <c r="G93" i="2" s="1"/>
  <c r="H93" i="2" l="1"/>
  <c r="K93" i="2"/>
  <c r="F93" i="2"/>
  <c r="I93" i="2" s="1"/>
  <c r="D94" i="2"/>
  <c r="J93" i="2" l="1"/>
  <c r="E94" i="2"/>
  <c r="H94" i="2" l="1"/>
  <c r="G94" i="2"/>
  <c r="J94" i="2"/>
  <c r="K94" i="2"/>
  <c r="F94" i="2"/>
  <c r="I94" i="2" s="1"/>
  <c r="D95" i="2"/>
  <c r="E95" i="2" l="1"/>
  <c r="G95" i="2" s="1"/>
  <c r="H95" i="2" l="1"/>
  <c r="K95" i="2"/>
  <c r="D96" i="2"/>
  <c r="F95" i="2"/>
  <c r="I95" i="2" s="1"/>
  <c r="J95" i="2" l="1"/>
  <c r="E96" i="2"/>
  <c r="G96" i="2" s="1"/>
  <c r="H96" i="2" l="1"/>
  <c r="J96" i="2"/>
  <c r="K96" i="2"/>
  <c r="D97" i="2"/>
  <c r="F96" i="2"/>
  <c r="I96" i="2" s="1"/>
  <c r="E97" i="2" l="1"/>
  <c r="G97" i="2" s="1"/>
  <c r="H97" i="2" l="1"/>
  <c r="J97" i="2"/>
  <c r="K97" i="2"/>
  <c r="D98" i="2"/>
  <c r="F97" i="2"/>
  <c r="I97" i="2" s="1"/>
  <c r="E98" i="2" l="1"/>
  <c r="G98" i="2" s="1"/>
  <c r="H98" i="2" l="1"/>
  <c r="K98" i="2"/>
  <c r="D99" i="2"/>
  <c r="F98" i="2"/>
  <c r="I98" i="2" s="1"/>
  <c r="J98" i="2" l="1"/>
  <c r="E99" i="2"/>
  <c r="G99" i="2" s="1"/>
  <c r="H99" i="2" l="1"/>
  <c r="J99" i="2"/>
  <c r="K99" i="2"/>
  <c r="D100" i="2"/>
  <c r="F99" i="2"/>
  <c r="I99" i="2" s="1"/>
  <c r="E100" i="2" l="1"/>
  <c r="G100" i="2" s="1"/>
  <c r="H100" i="2" l="1"/>
  <c r="K100" i="2"/>
  <c r="D101" i="2"/>
  <c r="F100" i="2"/>
  <c r="I100" i="2" s="1"/>
  <c r="J100" i="2" l="1"/>
  <c r="E101" i="2"/>
  <c r="G101" i="2" s="1"/>
  <c r="H101" i="2" l="1"/>
  <c r="J101" i="2"/>
  <c r="K101" i="2"/>
  <c r="D102" i="2"/>
  <c r="F101" i="2"/>
  <c r="I101" i="2" s="1"/>
  <c r="E102" i="2" l="1"/>
  <c r="G102" i="2" s="1"/>
  <c r="H102" i="2" l="1"/>
  <c r="K102" i="2"/>
  <c r="F102" i="2"/>
  <c r="I102" i="2" s="1"/>
  <c r="D103" i="2"/>
  <c r="J102" i="2" l="1"/>
  <c r="E103" i="2"/>
  <c r="H103" i="2" l="1"/>
  <c r="G103" i="2"/>
  <c r="J103" i="2"/>
  <c r="K103" i="2"/>
  <c r="D104" i="2"/>
  <c r="F103" i="2"/>
  <c r="I103" i="2" s="1"/>
  <c r="E104" i="2" l="1"/>
  <c r="G104" i="2" s="1"/>
  <c r="H104" i="2" l="1"/>
  <c r="K104" i="2"/>
  <c r="F104" i="2"/>
  <c r="D105" i="2"/>
  <c r="J104" i="2" l="1"/>
  <c r="I104" i="2"/>
  <c r="E105" i="2"/>
  <c r="G105" i="2" s="1"/>
  <c r="H105" i="2" l="1"/>
  <c r="J105" i="2"/>
  <c r="K105" i="2"/>
  <c r="D106" i="2"/>
  <c r="F105" i="2"/>
  <c r="I105" i="2" s="1"/>
  <c r="E106" i="2" l="1"/>
  <c r="G106" i="2" s="1"/>
  <c r="H106" i="2" l="1"/>
  <c r="K106" i="2"/>
  <c r="F106" i="2"/>
  <c r="D107" i="2"/>
  <c r="J106" i="2" l="1"/>
  <c r="I106" i="2"/>
  <c r="E107" i="2"/>
  <c r="G107" i="2" s="1"/>
  <c r="H107" i="2" l="1"/>
  <c r="J107" i="2"/>
  <c r="K107" i="2"/>
  <c r="D108" i="2"/>
  <c r="F107" i="2"/>
  <c r="I107" i="2" s="1"/>
  <c r="E108" i="2" l="1"/>
  <c r="G108" i="2" s="1"/>
  <c r="H108" i="2" l="1"/>
  <c r="J108" i="2"/>
  <c r="K108" i="2"/>
  <c r="F108" i="2"/>
  <c r="I108" i="2" s="1"/>
  <c r="D109" i="2"/>
  <c r="E109" i="2" l="1"/>
  <c r="G109" i="2" s="1"/>
  <c r="H109" i="2" l="1"/>
  <c r="K109" i="2"/>
  <c r="D110" i="2"/>
  <c r="F109" i="2"/>
  <c r="I109" i="2" s="1"/>
  <c r="J109" i="2" l="1"/>
  <c r="E110" i="2"/>
  <c r="G110" i="2" s="1"/>
  <c r="H110" i="2" l="1"/>
  <c r="J110" i="2"/>
  <c r="K110" i="2"/>
  <c r="F110" i="2"/>
  <c r="I110" i="2" s="1"/>
  <c r="D111" i="2"/>
  <c r="E111" i="2" l="1"/>
  <c r="G111" i="2" s="1"/>
  <c r="H111" i="2" l="1"/>
  <c r="K111" i="2"/>
  <c r="D112" i="2"/>
  <c r="F111" i="2"/>
  <c r="I111" i="2" s="1"/>
  <c r="J111" i="2" l="1"/>
  <c r="E112" i="2"/>
  <c r="G112" i="2" s="1"/>
  <c r="H112" i="2" l="1"/>
  <c r="J112" i="2"/>
  <c r="K112" i="2"/>
  <c r="F112" i="2"/>
  <c r="I112" i="2" s="1"/>
  <c r="D113" i="2"/>
  <c r="E113" i="2" l="1"/>
  <c r="G113" i="2" s="1"/>
  <c r="H113" i="2" l="1"/>
  <c r="K113" i="2"/>
  <c r="F113" i="2"/>
  <c r="I113" i="2" s="1"/>
  <c r="D114" i="2"/>
  <c r="J113" i="2" l="1"/>
  <c r="E114" i="2"/>
  <c r="G114" i="2" s="1"/>
  <c r="H114" i="2" l="1"/>
  <c r="J114" i="2"/>
  <c r="K114" i="2"/>
  <c r="F114" i="2"/>
  <c r="I114" i="2" s="1"/>
  <c r="D115" i="2"/>
  <c r="E115" i="2" l="1"/>
  <c r="G115" i="2" s="1"/>
  <c r="H115" i="2" l="1"/>
  <c r="K115" i="2"/>
  <c r="D116" i="2"/>
  <c r="F115" i="2"/>
  <c r="I115" i="2" s="1"/>
  <c r="J115" i="2" l="1"/>
  <c r="E116" i="2"/>
  <c r="G116" i="2" s="1"/>
  <c r="H116" i="2" l="1"/>
  <c r="J116" i="2"/>
  <c r="K116" i="2"/>
  <c r="F116" i="2"/>
  <c r="I116" i="2" s="1"/>
  <c r="D117" i="2"/>
  <c r="E117" i="2" l="1"/>
  <c r="G117" i="2" s="1"/>
  <c r="H117" i="2" l="1"/>
  <c r="K117" i="2"/>
  <c r="D118" i="2"/>
  <c r="F117" i="2"/>
  <c r="I117" i="2" s="1"/>
  <c r="J117" i="2" l="1"/>
  <c r="E118" i="2"/>
  <c r="G118" i="2" s="1"/>
  <c r="H118" i="2" l="1"/>
  <c r="J118" i="2"/>
  <c r="K118" i="2"/>
  <c r="D119" i="2"/>
  <c r="E119" i="2" s="1"/>
  <c r="G119" i="2" s="1"/>
  <c r="F118" i="2"/>
  <c r="I118" i="2" s="1"/>
  <c r="K119" i="2" l="1"/>
  <c r="D120" i="2"/>
  <c r="E120" i="2" s="1"/>
  <c r="G120" i="2" s="1"/>
  <c r="F119" i="2"/>
  <c r="I119" i="2" s="1"/>
  <c r="J120" i="2" l="1"/>
  <c r="J119" i="2"/>
  <c r="F120" i="2"/>
  <c r="I120" i="2" s="1"/>
  <c r="K120" i="2"/>
  <c r="D121" i="2"/>
  <c r="E121" i="2" s="1"/>
  <c r="G121" i="2" s="1"/>
  <c r="J121" i="2" l="1"/>
  <c r="K121" i="2"/>
  <c r="F121" i="2"/>
  <c r="I121" i="2" s="1"/>
  <c r="D122" i="2"/>
  <c r="E122" i="2" s="1"/>
  <c r="G122" i="2" s="1"/>
  <c r="D123" i="2" l="1"/>
  <c r="E123" i="2" s="1"/>
  <c r="G123" i="2" s="1"/>
  <c r="K122" i="2"/>
  <c r="F122" i="2"/>
  <c r="I122" i="2" s="1"/>
  <c r="J123" i="2" l="1"/>
  <c r="J122" i="2"/>
  <c r="D124" i="2"/>
  <c r="E124" i="2" s="1"/>
  <c r="G124" i="2" s="1"/>
  <c r="K123" i="2"/>
  <c r="F123" i="2"/>
  <c r="I123" i="2" s="1"/>
  <c r="F124" i="2" l="1"/>
  <c r="I124" i="2" s="1"/>
  <c r="K124" i="2"/>
  <c r="B5" i="4" s="1"/>
  <c r="C5" i="4" s="1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O5" i="4" s="1"/>
  <c r="B3" i="4" l="1"/>
  <c r="J124" i="2"/>
</calcChain>
</file>

<file path=xl/sharedStrings.xml><?xml version="1.0" encoding="utf-8"?>
<sst xmlns="http://schemas.openxmlformats.org/spreadsheetml/2006/main" count="959" uniqueCount="72">
  <si>
    <t>Activity</t>
  </si>
  <si>
    <t>Mon</t>
  </si>
  <si>
    <t>Tue</t>
  </si>
  <si>
    <t>Wed</t>
  </si>
  <si>
    <t>Thu</t>
  </si>
  <si>
    <t>Fri</t>
  </si>
  <si>
    <t>Sat</t>
  </si>
  <si>
    <t>Sun</t>
  </si>
  <si>
    <t>Total</t>
  </si>
  <si>
    <t>Names</t>
  </si>
  <si>
    <t>Jake Bathman</t>
  </si>
  <si>
    <t>Ashleigh Foy</t>
  </si>
  <si>
    <t>Lacie Reitmeyer</t>
  </si>
  <si>
    <t>Amy Davis</t>
  </si>
  <si>
    <t>Steve Wasserman</t>
  </si>
  <si>
    <t>Payperiod:</t>
  </si>
  <si>
    <t>Activity Categories</t>
  </si>
  <si>
    <t>Administrative Work</t>
  </si>
  <si>
    <t>Volunteer Management</t>
  </si>
  <si>
    <t>Personnel Management</t>
  </si>
  <si>
    <t>Meeting (in office)</t>
  </si>
  <si>
    <t>Meeting (out of office)</t>
  </si>
  <si>
    <t>Training (attended)</t>
  </si>
  <si>
    <t>Training (conducted)</t>
  </si>
  <si>
    <t>Conference</t>
  </si>
  <si>
    <t>Conference Call or Webinar</t>
  </si>
  <si>
    <t>Inventory Management</t>
  </si>
  <si>
    <t>Time Off</t>
  </si>
  <si>
    <t>Budget or Documentation</t>
  </si>
  <si>
    <t>Research or Analysis</t>
  </si>
  <si>
    <t>Start</t>
  </si>
  <si>
    <t>End</t>
  </si>
  <si>
    <t>Periods</t>
  </si>
  <si>
    <t>Payday</t>
  </si>
  <si>
    <t>FY</t>
  </si>
  <si>
    <t>Partial</t>
  </si>
  <si>
    <t>FOM Day</t>
  </si>
  <si>
    <t>Report Month</t>
  </si>
  <si>
    <t>Total:</t>
  </si>
  <si>
    <t>Reporting Month:</t>
  </si>
  <si>
    <t>Fiscal Year:</t>
  </si>
  <si>
    <t>Period Unique</t>
  </si>
  <si>
    <t>Public Event or Outreach</t>
  </si>
  <si>
    <t>Version</t>
  </si>
  <si>
    <t>Sheets</t>
  </si>
  <si>
    <t>Kevin Dodge</t>
  </si>
  <si>
    <t>Diana Mata</t>
  </si>
  <si>
    <t>DefaultName</t>
  </si>
  <si>
    <t>PreSelectToday</t>
  </si>
  <si>
    <t>CurrentLog</t>
  </si>
  <si>
    <t>IT Management or Maintenance</t>
  </si>
  <si>
    <t>Incident Response</t>
  </si>
  <si>
    <t>Planning or Resource Updates</t>
  </si>
  <si>
    <t>Exercise (hosted or attended)</t>
  </si>
  <si>
    <t>Traveling</t>
  </si>
  <si>
    <t>UpdateCodeInSync</t>
  </si>
  <si>
    <t>Employee:</t>
  </si>
  <si>
    <t>Month:</t>
  </si>
  <si>
    <t>Travelling</t>
  </si>
  <si>
    <t>Week 1 Total:</t>
  </si>
  <si>
    <t>Week 2 Total:</t>
  </si>
  <si>
    <t>December</t>
  </si>
  <si>
    <t>November</t>
  </si>
  <si>
    <t>October</t>
  </si>
  <si>
    <t>September</t>
  </si>
  <si>
    <t>UpdateCodeVersion</t>
  </si>
  <si>
    <t>4.2</t>
  </si>
  <si>
    <t>PatchesInstalled</t>
  </si>
  <si>
    <t>v4.2.1</t>
  </si>
  <si>
    <t>v4.2.2</t>
  </si>
  <si>
    <t>FY14-18</t>
  </si>
  <si>
    <t>4.2.1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</si>
</sst>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;@"/>
  </numFmts>
  <fonts count="7" x14ac:knownFonts="1">
    <font>
      <sz val="12"/>
      <name val="Arial"/>
      <family val="2"/>
    </font>
    <font>
      <sz val="1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2"/>
      <color theme="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59999389629810485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67955565050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>
      <alignment horizontal="center"/>
    </xf>
    <xf numFmtId="0" fontId="4" fillId="2" borderId="0" applyNumberFormat="0" applyBorder="0" applyAlignment="0" applyProtection="0"/>
    <xf numFmtId="0" fontId="3" fillId="5" borderId="1">
      <alignment horizontal="center" vertical="center"/>
    </xf>
    <xf numFmtId="0" fontId="3" fillId="4" borderId="0">
      <alignment horizontal="center"/>
    </xf>
    <xf numFmtId="0" fontId="3" fillId="3" borderId="0">
      <alignment horizontal="center"/>
    </xf>
    <xf numFmtId="0" fontId="3" fillId="0" borderId="0">
      <alignment horizontal="right"/>
    </xf>
  </cellStyleXfs>
  <cellXfs count="26">
    <xf numFmtId="0" fontId="0" fillId="0" borderId="0" xfId="0">
      <alignment horizontal="center"/>
    </xf>
    <xf numFmtId="0" fontId="1" fillId="0" borderId="0" xfId="0" applyFont="1">
      <alignment horizontal="center"/>
    </xf>
    <xf numFmtId="0" fontId="0" fillId="0" borderId="0" xfId="0">
      <alignment horizontal="center"/>
    </xf>
    <xf numFmtId="0" fontId="2" fillId="0" borderId="0" xfId="0" applyFont="1">
      <alignment horizontal="center"/>
    </xf>
    <xf numFmtId="14" fontId="2" fillId="0" borderId="0" xfId="0" applyNumberFormat="1" applyFont="1">
      <alignment horizontal="center"/>
    </xf>
    <xf numFmtId="0" fontId="3" fillId="0" borderId="0" xfId="0" applyFont="1" applyAlignment="1">
      <alignment horizontal="center"/>
    </xf>
    <xf numFmtId="0" fontId="2" fillId="0" borderId="0" xfId="0" applyFont="1" applyAlignment="1"/>
    <xf numFmtId="0" fontId="3" fillId="0" borderId="0" xfId="0" applyFont="1" applyAlignment="1">
      <alignment horizontal="right"/>
    </xf>
    <xf numFmtId="14" fontId="2" fillId="0" borderId="0" xfId="0" applyNumberFormat="1" applyFont="1" applyAlignment="1">
      <alignment horizontal="center"/>
    </xf>
    <xf numFmtId="14" fontId="0" fillId="0" borderId="0" xfId="0" applyNumberFormat="1">
      <alignment horizontal="center"/>
    </xf>
    <xf numFmtId="14" fontId="2" fillId="0" borderId="0" xfId="0" applyNumberFormat="1" applyFont="1" applyFill="1">
      <alignment horizontal="center"/>
    </xf>
    <xf numFmtId="14" fontId="5" fillId="0" borderId="0" xfId="1" applyNumberFormat="1" applyFont="1" applyFill="1" applyAlignment="1">
      <alignment horizontal="center"/>
    </xf>
    <xf numFmtId="164" fontId="2" fillId="0" borderId="0" xfId="0" applyNumberFormat="1" applyFont="1" applyFill="1" applyAlignment="1">
      <alignment horizontal="center"/>
    </xf>
    <xf numFmtId="49" fontId="0" fillId="0" borderId="0" xfId="0" applyNumberFormat="1">
      <alignment horizontal="center"/>
    </xf>
    <xf numFmtId="0" fontId="3" fillId="5" borderId="1" xfId="2">
      <alignment horizontal="center" vertical="center"/>
    </xf>
    <xf numFmtId="0" fontId="3" fillId="5" borderId="1" xfId="2" applyAlignment="1">
      <alignment horizontal="right" vertical="center"/>
    </xf>
    <xf numFmtId="0" fontId="2" fillId="0" borderId="0" xfId="0" applyFont="1" applyFill="1" applyAlignment="1">
      <alignment horizontal="left"/>
    </xf>
    <xf numFmtId="0" fontId="6" fillId="0" borderId="0" xfId="1" applyNumberFormat="1" applyFont="1" applyFill="1" applyAlignment="1">
      <alignment horizontal="left"/>
    </xf>
    <xf numFmtId="14" fontId="2" fillId="0" borderId="0" xfId="0" applyNumberFormat="1" applyFont="1" applyFill="1" applyAlignment="1">
      <alignment horizontal="left"/>
    </xf>
    <xf numFmtId="0" fontId="3" fillId="4" borderId="0" xfId="3">
      <alignment horizontal="center"/>
    </xf>
    <xf numFmtId="0" fontId="3" fillId="3" borderId="0" xfId="4">
      <alignment horizontal="center"/>
    </xf>
    <xf numFmtId="0" fontId="0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3" fillId="0" borderId="0" xfId="5">
      <alignment horizontal="right"/>
    </xf>
    <xf numFmtId="0" fontId="0" fillId="0" borderId="0" xfId="0" applyFont="1">
      <alignment horizontal="center"/>
    </xf>
    <xf numFmtId="0" fontId="3" fillId="0" borderId="0" xfId="0" applyFont="1">
      <alignment horizontal="center"/>
    </xf>
  </cellXfs>
  <cellStyles count="6">
    <cellStyle name="40% - Accent1" xfId="1" builtinId="31" customBuiltin="1"/>
    <cellStyle name="ActivityName" xfId="5"/>
    <cellStyle name="Calculation" xfId="2" builtinId="22" customBuiltin="1"/>
    <cellStyle name="Normal" xfId="0" builtinId="0" customBuiltin="1"/>
    <cellStyle name="WkOne" xfId="3"/>
    <cellStyle name="WkTwo" xfId="4"/>
  </cellStyles>
  <dxfs count="239"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rgb="FFC00000"/>
      </font>
      <fill>
        <patternFill>
          <fgColor indexed="64"/>
          <bgColor theme="5" tint="0.79995117038483843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  <dxf>
      <font>
        <b/>
        <i val="0"/>
        <color auto="1"/>
      </font>
      <fill>
        <patternFill>
          <fgColor indexed="64"/>
          <bgColor rgb="FFAFF5C0"/>
        </patternFill>
      </fill>
    </dxf>
    <dxf>
      <font>
        <b/>
        <i val="0"/>
        <color auto="1"/>
      </font>
      <fill>
        <patternFill>
          <fgColor indexed="64"/>
          <bgColor rgb="FFF5AFAF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6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3.emf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4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9.emf"/></Relationships>
</file>

<file path=xl/drawings/_rels/vmlDrawing15.vml.rels><?xml version="1.0" encoding="UTF-8" standalone="yes"?>
<Relationships xmlns="http://schemas.openxmlformats.org/package/2006/relationships"><Relationship Id="rId1" Type="http://schemas.openxmlformats.org/officeDocument/2006/relationships/image" Target="../media/image20.emf"/></Relationships>
</file>

<file path=xl/drawings/_rels/vmlDrawing16.vml.rels><?xml version="1.0" encoding="UTF-8" standalone="yes"?>
<Relationships xmlns="http://schemas.openxmlformats.org/package/2006/relationships"><Relationship Id="rId1" Type="http://schemas.openxmlformats.org/officeDocument/2006/relationships/image" Target="../media/image21.emf"/></Relationships>
</file>

<file path=xl/drawings/_rels/vmlDrawing1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1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3.emf"/></Relationships>
</file>

<file path=xl/drawings/_rels/vmlDrawing19.vml.rels><?xml version="1.0" encoding="UTF-8" standalone="yes"?>
<Relationships xmlns="http://schemas.openxmlformats.org/package/2006/relationships"><Relationship Id="rId1" Type="http://schemas.openxmlformats.org/officeDocument/2006/relationships/image" Target="../media/image24.emf"/></Relationships>
</file>

<file path=xl/drawings/_rels/vmlDrawing20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2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_rels/vmlDrawing2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7.emf"/></Relationships>
</file>

<file path=xl/drawings/_rels/vmlDrawing2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8.emf"/></Relationships>
</file>

<file path=xl/drawings/_rels/vmlDrawing2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2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0.emf"/></Relationships>
</file>

<file path=xl/drawings/_rels/vmlDrawing26.vml.rels><?xml version="1.0" encoding="UTF-8" standalone="yes"?>
<Relationships xmlns="http://schemas.openxmlformats.org/package/2006/relationships"><Relationship Id="rId1" Type="http://schemas.openxmlformats.org/officeDocument/2006/relationships/image" Target="../media/image31.emf"/></Relationships>
</file>

<file path=xl/drawings/_rels/vmlDrawing27.vml.rels><?xml version="1.0" encoding="UTF-8" standalone="yes"?>
<Relationships xmlns="http://schemas.openxmlformats.org/package/2006/relationships"><Relationship Id="rId1" Type="http://schemas.openxmlformats.org/officeDocument/2006/relationships/image" Target="../media/image32.emf"/></Relationships>
</file>

<file path=xl/drawings/_rels/vmlDrawing28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29.vml.rels><?xml version="1.0" encoding="UTF-8" standalone="yes"?>
<Relationships xmlns="http://schemas.openxmlformats.org/package/2006/relationships"><Relationship Id="rId1" Type="http://schemas.openxmlformats.org/officeDocument/2006/relationships/image" Target="../media/image34.emf"/></Relationships>
</file>

<file path=xl/drawings/_rels/vmlDrawing3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1</xdr:row>
          <xdr:rowOff>47625</xdr:rowOff>
        </xdr:from>
        <xdr:to>
          <xdr:col>5</xdr:col>
          <xdr:colOff>657225</xdr:colOff>
          <xdr:row>7</xdr:row>
          <xdr:rowOff>9525</xdr:rowOff>
        </xdr:to>
        <xdr:sp macro="" textlink="">
          <xdr:nvSpPr>
            <xdr:cNvPr id="3073" name="btnNewSheet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257175</xdr:colOff>
          <xdr:row>7</xdr:row>
          <xdr:rowOff>142875</xdr:rowOff>
        </xdr:from>
        <xdr:to>
          <xdr:col>5</xdr:col>
          <xdr:colOff>628650</xdr:colOff>
          <xdr:row>13</xdr:row>
          <xdr:rowOff>104775</xdr:rowOff>
        </xdr:to>
        <xdr:sp macro="" textlink="">
          <xdr:nvSpPr>
            <xdr:cNvPr id="3074" name="btnExportSheet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7</xdr:row>
          <xdr:rowOff>142875</xdr:rowOff>
        </xdr:from>
        <xdr:to>
          <xdr:col>8</xdr:col>
          <xdr:colOff>495300</xdr:colOff>
          <xdr:row>13</xdr:row>
          <xdr:rowOff>104775</xdr:rowOff>
        </xdr:to>
        <xdr:sp macro="" textlink="">
          <xdr:nvSpPr>
            <xdr:cNvPr id="3076" name="btnPrefs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695325</xdr:colOff>
          <xdr:row>7</xdr:row>
          <xdr:rowOff>142875</xdr:rowOff>
        </xdr:from>
        <xdr:to>
          <xdr:col>11</xdr:col>
          <xdr:colOff>247650</xdr:colOff>
          <xdr:row>13</xdr:row>
          <xdr:rowOff>104775</xdr:rowOff>
        </xdr:to>
        <xdr:sp macro="" textlink="">
          <xdr:nvSpPr>
            <xdr:cNvPr id="3079" name="btnUpdateCode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</xdr:row>
          <xdr:rowOff>47625</xdr:rowOff>
        </xdr:from>
        <xdr:to>
          <xdr:col>11</xdr:col>
          <xdr:colOff>247650</xdr:colOff>
          <xdr:row>7</xdr:row>
          <xdr:rowOff>9525</xdr:rowOff>
        </xdr:to>
        <xdr:sp macro="" textlink="">
          <xdr:nvSpPr>
            <xdr:cNvPr id="3075" name="btnInst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504825</xdr:colOff>
          <xdr:row>14</xdr:row>
          <xdr:rowOff>123825</xdr:rowOff>
        </xdr:from>
        <xdr:to>
          <xdr:col>8</xdr:col>
          <xdr:colOff>190500</xdr:colOff>
          <xdr:row>21</xdr:row>
          <xdr:rowOff>57150</xdr:rowOff>
        </xdr:to>
        <xdr:sp macro="" textlink="">
          <xdr:nvSpPr>
            <xdr:cNvPr id="3080" name="frmBugButton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9505" name="btnAddActivity" hidden="1">
              <a:extLst>
                <a:ext uri="{63B3BB69-23CF-44E3-9099-C40C66FF867C}">
                  <a14:compatExt spid="_x0000_s1495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5409" name="btnAddActivity" hidden="1">
              <a:extLst>
                <a:ext uri="{63B3BB69-23CF-44E3-9099-C40C66FF867C}">
                  <a14:compatExt spid="_x0000_s1454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6433" name="btnAddActivity" hidden="1">
              <a:extLst>
                <a:ext uri="{63B3BB69-23CF-44E3-9099-C40C66FF867C}">
                  <a14:compatExt spid="_x0000_s146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7457" name="btnAddActivity" hidden="1">
              <a:extLst>
                <a:ext uri="{63B3BB69-23CF-44E3-9099-C40C66FF867C}">
                  <a14:compatExt spid="_x0000_s1474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48481" name="btnAddActivity" hidden="1">
              <a:extLst>
                <a:ext uri="{63B3BB69-23CF-44E3-9099-C40C66FF867C}">
                  <a14:compatExt spid="_x0000_s1484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18785" name="btnAddActivity" hidden="1">
              <a:extLst>
                <a:ext uri="{63B3BB69-23CF-44E3-9099-C40C66FF867C}">
                  <a14:compatExt spid="_x0000_s11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119809" name="btnAddActivity" hidden="1">
              <a:extLst>
                <a:ext uri="{63B3BB69-23CF-44E3-9099-C40C66FF867C}">
                  <a14:compatExt spid="_x0000_s119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6257" name="btnAddActivity" hidden="1">
              <a:extLst>
                <a:ext uri="{63B3BB69-23CF-44E3-9099-C40C66FF867C}">
                  <a14:compatExt spid="_x0000_s96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5233" name="btnAddActivity" hidden="1">
              <a:extLst>
                <a:ext uri="{63B3BB69-23CF-44E3-9099-C40C66FF867C}">
                  <a14:compatExt spid="_x0000_s95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94209" name="btnAddActivity" hidden="1">
              <a:extLst>
                <a:ext uri="{63B3BB69-23CF-44E3-9099-C40C66FF867C}">
                  <a14:compatExt spid="_x0000_s94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4753" name="btnAddActivity" hidden="1">
              <a:extLst>
                <a:ext uri="{63B3BB69-23CF-44E3-9099-C40C66FF867C}">
                  <a14:compatExt spid="_x0000_s7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1681" name="btnAddActivity" hidden="1">
              <a:extLst>
                <a:ext uri="{63B3BB69-23CF-44E3-9099-C40C66FF867C}">
                  <a14:compatExt spid="_x0000_s71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2705" name="btnAddActivity" hidden="1">
              <a:extLst>
                <a:ext uri="{63B3BB69-23CF-44E3-9099-C40C66FF867C}">
                  <a14:compatExt spid="_x0000_s72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73729" name="btnAddActivity" hidden="1">
              <a:extLst>
                <a:ext uri="{63B3BB69-23CF-44E3-9099-C40C66FF867C}">
                  <a14:compatExt spid="_x0000_s73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5297" name="btnAddActivity" hidden="1">
              <a:extLst>
                <a:ext uri="{63B3BB69-23CF-44E3-9099-C40C66FF867C}">
                  <a14:compatExt spid="_x0000_s552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6321" name="btnAddActivity" hidden="1">
              <a:extLst>
                <a:ext uri="{63B3BB69-23CF-44E3-9099-C40C66FF867C}">
                  <a14:compatExt spid="_x0000_s56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8369" name="btnAddActivity" hidden="1">
              <a:extLst>
                <a:ext uri="{63B3BB69-23CF-44E3-9099-C40C66FF867C}">
                  <a14:compatExt spid="_x0000_s58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57345" name="btnAddActivity" hidden="1">
              <a:extLst>
                <a:ext uri="{63B3BB69-23CF-44E3-9099-C40C66FF867C}">
                  <a14:compatExt spid="_x0000_s573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4033" name="btnAddActivity" hidden="1">
              <a:extLst>
                <a:ext uri="{63B3BB69-23CF-44E3-9099-C40C66FF867C}">
                  <a14:compatExt spid="_x0000_s44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34817" name="btnAddActivity" hidden="1">
              <a:extLst>
                <a:ext uri="{63B3BB69-23CF-44E3-9099-C40C66FF867C}">
                  <a14:compatExt spid="_x0000_s3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6145" name="btnAddActivity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47105" name="btnAddActivity" hidden="1">
              <a:extLst>
                <a:ext uri="{63B3BB69-23CF-44E3-9099-C40C66FF867C}">
                  <a14:compatExt spid="_x0000_s471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3553" name="btnAddActivity" hidden="1">
              <a:extLst>
                <a:ext uri="{63B3BB69-23CF-44E3-9099-C40C66FF867C}">
                  <a14:compatExt spid="_x0000_s235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4577" name="btnAddActivity" hidden="1">
              <a:extLst>
                <a:ext uri="{63B3BB69-23CF-44E3-9099-C40C66FF867C}">
                  <a14:compatExt spid="_x0000_s24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5601" name="btnAddActivity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6625" name="btnAddActivity" hidden="1">
              <a:extLst>
                <a:ext uri="{63B3BB69-23CF-44E3-9099-C40C66FF867C}">
                  <a14:compatExt spid="_x0000_s26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7649" name="btnAddActivity" hidden="1">
              <a:extLst>
                <a:ext uri="{63B3BB69-23CF-44E3-9099-C40C66FF867C}">
                  <a14:compatExt spid="_x0000_s276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8673" name="btnAddActivity" hidden="1">
              <a:extLst>
                <a:ext uri="{63B3BB69-23CF-44E3-9099-C40C66FF867C}">
                  <a14:compatExt spid="_x0000_s28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76200</xdr:rowOff>
        </xdr:from>
        <xdr:to>
          <xdr:col>0</xdr:col>
          <xdr:colOff>1914525</xdr:colOff>
          <xdr:row>2</xdr:row>
          <xdr:rowOff>171450</xdr:rowOff>
        </xdr:to>
        <xdr:sp macro="" textlink="">
          <xdr:nvSpPr>
            <xdr:cNvPr id="29697" name="btnAddActivity" hidden="1">
              <a:extLst>
                <a:ext uri="{63B3BB69-23CF-44E3-9099-C40C66FF867C}">
                  <a14:compatExt spid="_x0000_s29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9.emf"/><Relationship Id="rId4" Type="http://schemas.openxmlformats.org/officeDocument/2006/relationships/control" Target="../activeX/activeX9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0.emf"/><Relationship Id="rId4" Type="http://schemas.openxmlformats.org/officeDocument/2006/relationships/control" Target="../activeX/activeX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image" Target="../media/image12.emf"/><Relationship Id="rId4" Type="http://schemas.openxmlformats.org/officeDocument/2006/relationships/control" Target="../activeX/activeX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3.emf"/><Relationship Id="rId4" Type="http://schemas.openxmlformats.org/officeDocument/2006/relationships/control" Target="../activeX/activeX13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image" Target="../media/image14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5" Type="http://schemas.openxmlformats.org/officeDocument/2006/relationships/image" Target="../media/image15.emf"/><Relationship Id="rId4" Type="http://schemas.openxmlformats.org/officeDocument/2006/relationships/control" Target="../activeX/activeX15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5" Type="http://schemas.openxmlformats.org/officeDocument/2006/relationships/image" Target="../media/image16.emf"/><Relationship Id="rId4" Type="http://schemas.openxmlformats.org/officeDocument/2006/relationships/control" Target="../activeX/activeX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5" Type="http://schemas.openxmlformats.org/officeDocument/2006/relationships/image" Target="../media/image18.emf"/><Relationship Id="rId4" Type="http://schemas.openxmlformats.org/officeDocument/2006/relationships/control" Target="../activeX/activeX18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5" Type="http://schemas.openxmlformats.org/officeDocument/2006/relationships/image" Target="../media/image19.emf"/><Relationship Id="rId4" Type="http://schemas.openxmlformats.org/officeDocument/2006/relationships/control" Target="../activeX/activeX1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5" Type="http://schemas.openxmlformats.org/officeDocument/2006/relationships/image" Target="../media/image20.emf"/><Relationship Id="rId4" Type="http://schemas.openxmlformats.org/officeDocument/2006/relationships/control" Target="../activeX/activeX20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5" Type="http://schemas.openxmlformats.org/officeDocument/2006/relationships/image" Target="../media/image21.emf"/><Relationship Id="rId4" Type="http://schemas.openxmlformats.org/officeDocument/2006/relationships/control" Target="../activeX/activeX21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5" Type="http://schemas.openxmlformats.org/officeDocument/2006/relationships/image" Target="../media/image22.emf"/><Relationship Id="rId4" Type="http://schemas.openxmlformats.org/officeDocument/2006/relationships/control" Target="../activeX/activeX2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23.emf"/><Relationship Id="rId4" Type="http://schemas.openxmlformats.org/officeDocument/2006/relationships/control" Target="../activeX/activeX23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Relationship Id="rId5" Type="http://schemas.openxmlformats.org/officeDocument/2006/relationships/image" Target="../media/image24.emf"/><Relationship Id="rId4" Type="http://schemas.openxmlformats.org/officeDocument/2006/relationships/control" Target="../activeX/activeX24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5" Type="http://schemas.openxmlformats.org/officeDocument/2006/relationships/image" Target="../media/image25.emf"/><Relationship Id="rId4" Type="http://schemas.openxmlformats.org/officeDocument/2006/relationships/control" Target="../activeX/activeX25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5" Type="http://schemas.openxmlformats.org/officeDocument/2006/relationships/image" Target="../media/image26.emf"/><Relationship Id="rId4" Type="http://schemas.openxmlformats.org/officeDocument/2006/relationships/control" Target="../activeX/activeX26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5" Type="http://schemas.openxmlformats.org/officeDocument/2006/relationships/image" Target="../media/image27.emf"/><Relationship Id="rId4" Type="http://schemas.openxmlformats.org/officeDocument/2006/relationships/control" Target="../activeX/activeX27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5" Type="http://schemas.openxmlformats.org/officeDocument/2006/relationships/image" Target="../media/image28.emf"/><Relationship Id="rId4" Type="http://schemas.openxmlformats.org/officeDocument/2006/relationships/control" Target="../activeX/activeX28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5" Type="http://schemas.openxmlformats.org/officeDocument/2006/relationships/image" Target="../media/image29.emf"/><Relationship Id="rId4" Type="http://schemas.openxmlformats.org/officeDocument/2006/relationships/control" Target="../activeX/activeX29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5" Type="http://schemas.openxmlformats.org/officeDocument/2006/relationships/image" Target="../media/image30.emf"/><Relationship Id="rId4" Type="http://schemas.openxmlformats.org/officeDocument/2006/relationships/control" Target="../activeX/activeX30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6.v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7.bin"/><Relationship Id="rId5" Type="http://schemas.openxmlformats.org/officeDocument/2006/relationships/image" Target="../media/image31.emf"/><Relationship Id="rId4" Type="http://schemas.openxmlformats.org/officeDocument/2006/relationships/control" Target="../activeX/activeX31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7.v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8.bin"/><Relationship Id="rId5" Type="http://schemas.openxmlformats.org/officeDocument/2006/relationships/image" Target="../media/image32.emf"/><Relationship Id="rId4" Type="http://schemas.openxmlformats.org/officeDocument/2006/relationships/control" Target="../activeX/activeX32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8.v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9.bin"/><Relationship Id="rId5" Type="http://schemas.openxmlformats.org/officeDocument/2006/relationships/image" Target="../media/image33.emf"/><Relationship Id="rId4" Type="http://schemas.openxmlformats.org/officeDocument/2006/relationships/control" Target="../activeX/activeX33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9.v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30.bin"/><Relationship Id="rId5" Type="http://schemas.openxmlformats.org/officeDocument/2006/relationships/image" Target="../media/image34.emf"/><Relationship Id="rId4" Type="http://schemas.openxmlformats.org/officeDocument/2006/relationships/control" Target="../activeX/activeX34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0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1.bin"/><Relationship Id="rId5" Type="http://schemas.openxmlformats.org/officeDocument/2006/relationships/image" Target="../media/image35.emf"/><Relationship Id="rId4" Type="http://schemas.openxmlformats.org/officeDocument/2006/relationships/control" Target="../activeX/activeX35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"/>
  <sheetViews>
    <sheetView tabSelected="1" zoomScale="120" zoomScaleNormal="120" workbookViewId="0">
      <selection activeCell="I23" sqref="I23"/>
    </sheetView>
  </sheetViews>
  <sheetFormatPr defaultRowHeight="15" x14ac:dyDescent="0.2"/>
  <cols>
    <col min="1" max="16384" width="8.88671875" style="3"/>
  </cols>
  <sheetData/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080" r:id="rId4" name="frmBugButton">
          <controlPr defaultSize="0" autoLine="0" r:id="rId5">
            <anchor moveWithCells="1">
              <from>
                <xdr:col>3</xdr:col>
                <xdr:colOff>504825</xdr:colOff>
                <xdr:row>14</xdr:row>
                <xdr:rowOff>123825</xdr:rowOff>
              </from>
              <to>
                <xdr:col>8</xdr:col>
                <xdr:colOff>190500</xdr:colOff>
                <xdr:row>21</xdr:row>
                <xdr:rowOff>57150</xdr:rowOff>
              </to>
            </anchor>
          </controlPr>
        </control>
      </mc:Choice>
      <mc:Fallback>
        <control shapeId="3080" r:id="rId4" name="frmBugButton"/>
      </mc:Fallback>
    </mc:AlternateContent>
    <mc:AlternateContent xmlns:mc="http://schemas.openxmlformats.org/markup-compatibility/2006">
      <mc:Choice Requires="x14">
        <control shapeId="3079" r:id="rId6" name="btnUpdateCode">
          <controlPr autoLine="0" r:id="rId7">
            <anchor moveWithCells="1">
              <from>
                <xdr:col>8</xdr:col>
                <xdr:colOff>695325</xdr:colOff>
                <xdr:row>7</xdr:row>
                <xdr:rowOff>142875</xdr:rowOff>
              </from>
              <to>
                <xdr:col>11</xdr:col>
                <xdr:colOff>247650</xdr:colOff>
                <xdr:row>13</xdr:row>
                <xdr:rowOff>104775</xdr:rowOff>
              </to>
            </anchor>
          </controlPr>
        </control>
      </mc:Choice>
      <mc:Fallback>
        <control shapeId="3079" r:id="rId6" name="btnUpdateCode"/>
      </mc:Fallback>
    </mc:AlternateContent>
    <mc:AlternateContent xmlns:mc="http://schemas.openxmlformats.org/markup-compatibility/2006">
      <mc:Choice Requires="x14">
        <control shapeId="3073" r:id="rId8" name="btnNewSheet">
          <controlPr autoLine="0" r:id="rId9">
            <anchor moveWithCells="1">
              <from>
                <xdr:col>0</xdr:col>
                <xdr:colOff>257175</xdr:colOff>
                <xdr:row>1</xdr:row>
                <xdr:rowOff>47625</xdr:rowOff>
              </from>
              <to>
                <xdr:col>5</xdr:col>
                <xdr:colOff>657225</xdr:colOff>
                <xdr:row>7</xdr:row>
                <xdr:rowOff>9525</xdr:rowOff>
              </to>
            </anchor>
          </controlPr>
        </control>
      </mc:Choice>
      <mc:Fallback>
        <control shapeId="3073" r:id="rId8" name="btnNewSheet"/>
      </mc:Fallback>
    </mc:AlternateContent>
    <mc:AlternateContent xmlns:mc="http://schemas.openxmlformats.org/markup-compatibility/2006">
      <mc:Choice Requires="x14">
        <control shapeId="3074" r:id="rId10" name="btnExportSheet">
          <controlPr autoLine="0" r:id="rId11">
            <anchor moveWithCells="1">
              <from>
                <xdr:col>0</xdr:col>
                <xdr:colOff>257175</xdr:colOff>
                <xdr:row>7</xdr:row>
                <xdr:rowOff>142875</xdr:rowOff>
              </from>
              <to>
                <xdr:col>5</xdr:col>
                <xdr:colOff>628650</xdr:colOff>
                <xdr:row>13</xdr:row>
                <xdr:rowOff>104775</xdr:rowOff>
              </to>
            </anchor>
          </controlPr>
        </control>
      </mc:Choice>
      <mc:Fallback>
        <control shapeId="3074" r:id="rId10" name="btnExportSheet"/>
      </mc:Fallback>
    </mc:AlternateContent>
    <mc:AlternateContent xmlns:mc="http://schemas.openxmlformats.org/markup-compatibility/2006">
      <mc:Choice Requires="x14">
        <control shapeId="3075" r:id="rId12" name="btnHistory">
          <controlPr autoLine="0" r:id="rId13">
            <anchor moveWithCells="1">
              <from>
                <xdr:col>6</xdr:col>
                <xdr:colOff>76200</xdr:colOff>
                <xdr:row>1</xdr:row>
                <xdr:rowOff>47625</xdr:rowOff>
              </from>
              <to>
                <xdr:col>11</xdr:col>
                <xdr:colOff>247650</xdr:colOff>
                <xdr:row>7</xdr:row>
                <xdr:rowOff>9525</xdr:rowOff>
              </to>
            </anchor>
          </controlPr>
        </control>
      </mc:Choice>
      <mc:Fallback>
        <control shapeId="3075" r:id="rId12" name="btnHistory"/>
      </mc:Fallback>
    </mc:AlternateContent>
    <mc:AlternateContent xmlns:mc="http://schemas.openxmlformats.org/markup-compatibility/2006">
      <mc:Choice Requires="x14">
        <control shapeId="3076" r:id="rId14" name="btnPrefs">
          <controlPr autoLine="0" r:id="rId15">
            <anchor moveWithCells="1">
              <from>
                <xdr:col>6</xdr:col>
                <xdr:colOff>76200</xdr:colOff>
                <xdr:row>7</xdr:row>
                <xdr:rowOff>142875</xdr:rowOff>
              </from>
              <to>
                <xdr:col>8</xdr:col>
                <xdr:colOff>495300</xdr:colOff>
                <xdr:row>13</xdr:row>
                <xdr:rowOff>104775</xdr:rowOff>
              </to>
            </anchor>
          </controlPr>
        </control>
      </mc:Choice>
      <mc:Fallback>
        <control shapeId="3076" r:id="rId14" name="btnPref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P8"/>
  <sheetViews>
    <sheetView workbookViewId="0">
      <selection activeCell="B5" sqref="B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October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INDEX(Refs!D:D,MATCH('FY14-20'!B1 &amp; 'FY14-20'!B2,Refs!K:K,0))</f>
        <v>41533</v>
      </c>
      <c r="C5" s="12">
        <f>B5+1</f>
        <v>41534</v>
      </c>
      <c r="D5" s="12">
        <f t="shared" ref="D5:O5" si="0">C5+1</f>
        <v>41535</v>
      </c>
      <c r="E5" s="12">
        <f t="shared" si="0"/>
        <v>41536</v>
      </c>
      <c r="F5" s="12">
        <f t="shared" si="0"/>
        <v>41537</v>
      </c>
      <c r="G5" s="12">
        <f t="shared" si="0"/>
        <v>41538</v>
      </c>
      <c r="H5" s="12">
        <f t="shared" si="0"/>
        <v>41539</v>
      </c>
      <c r="I5" s="12">
        <f t="shared" si="0"/>
        <v>41540</v>
      </c>
      <c r="J5" s="12">
        <f t="shared" si="0"/>
        <v>41541</v>
      </c>
      <c r="K5" s="12">
        <f t="shared" si="0"/>
        <v>41542</v>
      </c>
      <c r="L5" s="12">
        <f t="shared" si="0"/>
        <v>41543</v>
      </c>
      <c r="M5" s="12">
        <f t="shared" si="0"/>
        <v>41544</v>
      </c>
      <c r="N5" s="12">
        <f t="shared" si="0"/>
        <v>41545</v>
      </c>
      <c r="O5" s="12">
        <f t="shared" si="0"/>
        <v>41546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95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9505" r:id="rId4" name="btnAddActivity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8"/>
  <dimension ref="A1:P8"/>
  <sheetViews>
    <sheetView workbookViewId="0">
      <selection activeCell="B3" sqref="B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INDEX(Refs!D:D,MATCH('FY14-19'!B1 &amp; 'FY14-19'!B2,Refs!K:K,0))</f>
        <v>41519</v>
      </c>
      <c r="C5" s="12">
        <f>B5+1</f>
        <v>41520</v>
      </c>
      <c r="D5" s="12">
        <f t="shared" ref="D5:O5" si="0">C5+1</f>
        <v>41521</v>
      </c>
      <c r="E5" s="12">
        <f t="shared" si="0"/>
        <v>41522</v>
      </c>
      <c r="F5" s="12">
        <f t="shared" si="0"/>
        <v>41523</v>
      </c>
      <c r="G5" s="12">
        <f t="shared" si="0"/>
        <v>41524</v>
      </c>
      <c r="H5" s="12">
        <f t="shared" si="0"/>
        <v>41525</v>
      </c>
      <c r="I5" s="12">
        <f t="shared" si="0"/>
        <v>41526</v>
      </c>
      <c r="J5" s="12">
        <f t="shared" si="0"/>
        <v>41527</v>
      </c>
      <c r="K5" s="12">
        <f t="shared" si="0"/>
        <v>41528</v>
      </c>
      <c r="L5" s="12">
        <f t="shared" si="0"/>
        <v>41529</v>
      </c>
      <c r="M5" s="12">
        <f t="shared" si="0"/>
        <v>41530</v>
      </c>
      <c r="N5" s="12">
        <f t="shared" si="0"/>
        <v>41531</v>
      </c>
      <c r="O5" s="12">
        <f t="shared" si="0"/>
        <v>41532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54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5409" r:id="rId4" name="btnAddActivity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9"/>
  <dimension ref="A1:T216"/>
  <sheetViews>
    <sheetView workbookViewId="0">
      <selection activeCell="F13" sqref="F1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2014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September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INDEX(Refs!D:D,MATCH('FY14-18'!B1 &amp; 'FY14-18'!B2,Refs!K:K,0))</f>
        <v>41869</v>
      </c>
      <c r="C5" s="12">
        <f>B5+1</f>
        <v>41870</v>
      </c>
      <c r="D5" s="12">
        <f t="shared" ref="D5:O5" si="0">C5+1</f>
        <v>41871</v>
      </c>
      <c r="E5" s="12">
        <f t="shared" si="0"/>
        <v>41872</v>
      </c>
      <c r="F5" s="12">
        <f t="shared" si="0"/>
        <v>41873</v>
      </c>
      <c r="G5" s="12">
        <f t="shared" si="0"/>
        <v>41874</v>
      </c>
      <c r="H5" s="12">
        <f t="shared" si="0"/>
        <v>41875</v>
      </c>
      <c r="I5" s="12">
        <f t="shared" si="0"/>
        <v>41876</v>
      </c>
      <c r="J5" s="12">
        <f t="shared" si="0"/>
        <v>41877</v>
      </c>
      <c r="K5" s="12">
        <f t="shared" si="0"/>
        <v>41878</v>
      </c>
      <c r="L5" s="12">
        <f t="shared" si="0"/>
        <v>41879</v>
      </c>
      <c r="M5" s="12">
        <f t="shared" si="0"/>
        <v>41880</v>
      </c>
      <c r="N5" s="12">
        <f t="shared" si="0"/>
        <v>41881</v>
      </c>
      <c r="O5" s="12">
        <f t="shared" si="0"/>
        <v>41882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0.25</v>
      </c>
      <c r="C7" s="24">
        <v>1.5</v>
      </c>
      <c r="D7" s="24">
        <v>1.25</v>
      </c>
      <c r="E7" s="24">
        <v>1</v>
      </c>
      <c r="F7" s="24">
        <v>3</v>
      </c>
      <c r="G7" s="24"/>
      <c r="H7" s="24"/>
      <c r="I7" s="24">
        <v>0.75</v>
      </c>
      <c r="J7" s="24">
        <v>0.25</v>
      </c>
      <c r="K7" s="24"/>
      <c r="L7" s="24"/>
      <c r="M7" s="24">
        <v>0.25</v>
      </c>
      <c r="N7" s="24"/>
      <c r="O7" s="24"/>
      <c r="P7" s="25">
        <f t="shared" ref="P7:P15" si="1">SUM(B7:O7)</f>
        <v>8.25</v>
      </c>
    </row>
    <row r="8" spans="1:16" ht="20.25" customHeight="1" x14ac:dyDescent="0.25">
      <c r="A8" s="23" t="s">
        <v>28</v>
      </c>
      <c r="B8" s="24"/>
      <c r="C8" s="24">
        <v>3.75</v>
      </c>
      <c r="D8" s="24">
        <v>2</v>
      </c>
      <c r="E8" s="24">
        <v>0.75</v>
      </c>
      <c r="F8" s="24">
        <v>3</v>
      </c>
      <c r="G8" s="24"/>
      <c r="H8" s="24"/>
      <c r="I8" s="24">
        <v>1.5</v>
      </c>
      <c r="J8" s="24">
        <v>5.5</v>
      </c>
      <c r="K8" s="24">
        <v>2.75</v>
      </c>
      <c r="L8" s="24"/>
      <c r="M8" s="24">
        <v>2</v>
      </c>
      <c r="N8" s="24"/>
      <c r="O8" s="24"/>
      <c r="P8" s="25">
        <f t="shared" si="1"/>
        <v>21.25</v>
      </c>
    </row>
    <row r="9" spans="1:16" ht="20.25" customHeight="1" x14ac:dyDescent="0.25">
      <c r="A9" s="23" t="s">
        <v>26</v>
      </c>
      <c r="B9" s="24">
        <v>2.5</v>
      </c>
      <c r="C9" s="24"/>
      <c r="D9" s="24"/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5">
        <f t="shared" si="1"/>
        <v>2.5</v>
      </c>
    </row>
    <row r="10" spans="1:16" ht="20.25" customHeight="1" x14ac:dyDescent="0.25">
      <c r="A10" s="23" t="s">
        <v>20</v>
      </c>
      <c r="B10" s="24">
        <v>2.5</v>
      </c>
      <c r="C10" s="24"/>
      <c r="D10" s="24">
        <v>1.5</v>
      </c>
      <c r="E10" s="24"/>
      <c r="F10" s="24"/>
      <c r="G10" s="24"/>
      <c r="H10" s="24"/>
      <c r="I10" s="24"/>
      <c r="J10" s="24"/>
      <c r="K10" s="24">
        <v>0.75</v>
      </c>
      <c r="L10" s="24"/>
      <c r="M10" s="24"/>
      <c r="N10" s="24"/>
      <c r="O10" s="24"/>
      <c r="P10" s="25">
        <f t="shared" si="1"/>
        <v>4.75</v>
      </c>
    </row>
    <row r="11" spans="1:16" ht="20.25" customHeight="1" x14ac:dyDescent="0.25">
      <c r="A11" s="23" t="s">
        <v>21</v>
      </c>
      <c r="B11" s="24"/>
      <c r="C11" s="24"/>
      <c r="D11" s="24">
        <v>1</v>
      </c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>
        <f t="shared" si="1"/>
        <v>1</v>
      </c>
    </row>
    <row r="12" spans="1:16" ht="20.25" customHeight="1" x14ac:dyDescent="0.25">
      <c r="A12" s="23" t="s">
        <v>19</v>
      </c>
      <c r="B12" s="24">
        <v>2.75</v>
      </c>
      <c r="C12" s="24">
        <v>0.75</v>
      </c>
      <c r="D12" s="24"/>
      <c r="E12" s="24"/>
      <c r="F12" s="24"/>
      <c r="G12" s="24"/>
      <c r="H12" s="24"/>
      <c r="I12" s="24">
        <v>0.75</v>
      </c>
      <c r="J12" s="24"/>
      <c r="K12" s="24"/>
      <c r="L12" s="24"/>
      <c r="M12" s="24"/>
      <c r="N12" s="24"/>
      <c r="O12" s="24"/>
      <c r="P12" s="25">
        <f t="shared" si="1"/>
        <v>4.25</v>
      </c>
    </row>
    <row r="13" spans="1:16" ht="20.25" customHeight="1" x14ac:dyDescent="0.25">
      <c r="A13" s="23" t="s">
        <v>52</v>
      </c>
      <c r="B13" s="24"/>
      <c r="C13" s="24"/>
      <c r="D13" s="24">
        <v>1.5</v>
      </c>
      <c r="E13" s="24">
        <v>5.75</v>
      </c>
      <c r="F13" s="24">
        <v>1.75</v>
      </c>
      <c r="G13" s="24"/>
      <c r="H13" s="24"/>
      <c r="I13" s="24">
        <v>5</v>
      </c>
      <c r="J13" s="24">
        <v>0.75</v>
      </c>
      <c r="K13" s="24">
        <v>3.5</v>
      </c>
      <c r="L13" s="24"/>
      <c r="M13" s="24">
        <v>5.75</v>
      </c>
      <c r="N13" s="24"/>
      <c r="O13" s="24"/>
      <c r="P13" s="25">
        <f t="shared" si="1"/>
        <v>24</v>
      </c>
    </row>
    <row r="14" spans="1:16" ht="20.25" customHeight="1" x14ac:dyDescent="0.25">
      <c r="A14" s="23" t="s">
        <v>27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>
        <v>8</v>
      </c>
      <c r="M14" s="24"/>
      <c r="N14" s="24"/>
      <c r="O14" s="24"/>
      <c r="P14" s="25">
        <f t="shared" si="1"/>
        <v>8</v>
      </c>
    </row>
    <row r="15" spans="1:16" ht="20.25" customHeight="1" x14ac:dyDescent="0.25">
      <c r="A15" s="23" t="s">
        <v>18</v>
      </c>
      <c r="B15" s="24"/>
      <c r="C15" s="24">
        <v>2</v>
      </c>
      <c r="D15" s="24">
        <v>0.75</v>
      </c>
      <c r="E15" s="24">
        <v>0.5</v>
      </c>
      <c r="F15" s="24">
        <v>0.25</v>
      </c>
      <c r="G15" s="24"/>
      <c r="H15" s="24"/>
      <c r="I15" s="24"/>
      <c r="J15" s="24">
        <v>1.5</v>
      </c>
      <c r="K15" s="24">
        <v>1</v>
      </c>
      <c r="L15" s="24"/>
      <c r="M15" s="24"/>
      <c r="N15" s="24"/>
      <c r="O15" s="24"/>
      <c r="P15" s="25">
        <f t="shared" si="1"/>
        <v>6</v>
      </c>
    </row>
    <row r="16" spans="1:16" ht="20.25" customHeight="1" x14ac:dyDescent="0.2">
      <c r="A16" s="15" t="s">
        <v>38</v>
      </c>
      <c r="B16" s="14">
        <f t="shared" ref="B16:P16" si="2">SUM(B7:B15)</f>
        <v>8</v>
      </c>
      <c r="C16" s="14">
        <f t="shared" si="2"/>
        <v>8</v>
      </c>
      <c r="D16" s="14">
        <f t="shared" si="2"/>
        <v>8</v>
      </c>
      <c r="E16" s="14">
        <f t="shared" si="2"/>
        <v>8</v>
      </c>
      <c r="F16" s="14">
        <f t="shared" si="2"/>
        <v>8</v>
      </c>
      <c r="G16" s="14">
        <f t="shared" si="2"/>
        <v>0</v>
      </c>
      <c r="H16" s="14">
        <f t="shared" si="2"/>
        <v>0</v>
      </c>
      <c r="I16" s="14">
        <f t="shared" si="2"/>
        <v>8</v>
      </c>
      <c r="J16" s="14">
        <f t="shared" si="2"/>
        <v>8</v>
      </c>
      <c r="K16" s="14">
        <f t="shared" si="2"/>
        <v>8</v>
      </c>
      <c r="L16" s="14">
        <f t="shared" si="2"/>
        <v>8</v>
      </c>
      <c r="M16" s="14">
        <f t="shared" si="2"/>
        <v>8</v>
      </c>
      <c r="N16" s="14">
        <f t="shared" si="2"/>
        <v>0</v>
      </c>
      <c r="O16" s="14">
        <f t="shared" si="2"/>
        <v>0</v>
      </c>
      <c r="P16" s="14">
        <f t="shared" si="2"/>
        <v>80</v>
      </c>
    </row>
    <row r="17" spans="1:20" ht="20.25" customHeight="1" x14ac:dyDescent="0.25">
      <c r="A17"/>
      <c r="B17"/>
      <c r="C17"/>
      <c r="D17"/>
      <c r="E17"/>
      <c r="F17"/>
      <c r="G17" s="23" t="s">
        <v>59</v>
      </c>
      <c r="H17" s="14">
        <f>SUM(B16:H16)</f>
        <v>40</v>
      </c>
      <c r="I17"/>
      <c r="J17"/>
      <c r="K17"/>
      <c r="L17"/>
      <c r="M17"/>
      <c r="N17" s="23" t="s">
        <v>60</v>
      </c>
      <c r="O17" s="14">
        <f>SUM(I16:O16)</f>
        <v>40</v>
      </c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</sheetData>
  <sortState ref="A7:P15">
    <sortCondition ref="A7:A15"/>
  </sortState>
  <dataConsolidate/>
  <conditionalFormatting sqref="B16:F16 I16:M16">
    <cfRule type="cellIs" dxfId="238" priority="6" operator="greaterThan">
      <formula>8</formula>
    </cfRule>
    <cfRule type="cellIs" dxfId="237" priority="327" operator="equal">
      <formula>8</formula>
    </cfRule>
  </conditionalFormatting>
  <conditionalFormatting sqref="P7:P15">
    <cfRule type="cellIs" dxfId="236" priority="5" operator="greaterThan">
      <formula>80</formula>
    </cfRule>
  </conditionalFormatting>
  <conditionalFormatting sqref="P16">
    <cfRule type="cellIs" dxfId="235" priority="4" operator="greaterThan">
      <formula>80</formula>
    </cfRule>
    <cfRule type="cellIs" dxfId="234" priority="328" operator="equal">
      <formula>80</formula>
    </cfRule>
  </conditionalFormatting>
  <conditionalFormatting sqref="H17">
    <cfRule type="cellIs" dxfId="233" priority="3" operator="greaterThan">
      <formula>40</formula>
    </cfRule>
    <cfRule type="cellIs" dxfId="232" priority="329" operator="equal">
      <formula>40</formula>
    </cfRule>
  </conditionalFormatting>
  <conditionalFormatting sqref="O17">
    <cfRule type="cellIs" dxfId="231" priority="2" operator="greaterThan">
      <formula>40</formula>
    </cfRule>
    <cfRule type="cellIs" dxfId="230" priority="330" operator="equal">
      <formula>40</formula>
    </cfRule>
  </conditionalFormatting>
  <conditionalFormatting sqref="G16:H16 N16:O16">
    <cfRule type="cellIs" dxfId="22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64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6433" r:id="rId4" name="btnAddActivity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0"/>
  <dimension ref="A1:T216"/>
  <sheetViews>
    <sheetView workbookViewId="0">
      <selection activeCell="I21" sqref="I2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INDEX(Refs!D:D,MATCH('FY13-17'!B1 &amp; 'FY13-17'!B2,Refs!K:K,0))</f>
        <v>41491</v>
      </c>
      <c r="C5" s="12">
        <f>B5+1</f>
        <v>41492</v>
      </c>
      <c r="D5" s="12">
        <f t="shared" ref="D5:O5" si="0">C5+1</f>
        <v>41493</v>
      </c>
      <c r="E5" s="12">
        <f t="shared" si="0"/>
        <v>41494</v>
      </c>
      <c r="F5" s="12">
        <f t="shared" si="0"/>
        <v>41495</v>
      </c>
      <c r="G5" s="12">
        <f t="shared" si="0"/>
        <v>41496</v>
      </c>
      <c r="H5" s="12">
        <f t="shared" si="0"/>
        <v>41497</v>
      </c>
      <c r="I5" s="12">
        <f t="shared" si="0"/>
        <v>41498</v>
      </c>
      <c r="J5" s="12">
        <f t="shared" si="0"/>
        <v>41499</v>
      </c>
      <c r="K5" s="12">
        <f t="shared" si="0"/>
        <v>41500</v>
      </c>
      <c r="L5" s="12">
        <f t="shared" si="0"/>
        <v>41501</v>
      </c>
      <c r="M5" s="12">
        <f t="shared" si="0"/>
        <v>41502</v>
      </c>
      <c r="N5" s="12">
        <f t="shared" si="0"/>
        <v>41503</v>
      </c>
      <c r="O5" s="12">
        <f t="shared" si="0"/>
        <v>41504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0.5</v>
      </c>
      <c r="C7" s="24">
        <v>1.5</v>
      </c>
      <c r="D7" s="24">
        <v>3</v>
      </c>
      <c r="E7" s="24">
        <v>0.5</v>
      </c>
      <c r="F7" s="24">
        <v>0.25</v>
      </c>
      <c r="G7" s="24"/>
      <c r="H7" s="24"/>
      <c r="I7" s="24"/>
      <c r="J7" s="24">
        <v>0.75</v>
      </c>
      <c r="K7" s="24"/>
      <c r="L7" s="24">
        <v>0.75</v>
      </c>
      <c r="M7" s="24">
        <v>0.5</v>
      </c>
      <c r="N7" s="24"/>
      <c r="O7" s="24"/>
      <c r="P7" s="25">
        <f t="shared" ref="P7:P15" si="1">SUM(B7:O7)</f>
        <v>7.75</v>
      </c>
    </row>
    <row r="8" spans="1:16" ht="20.25" customHeight="1" x14ac:dyDescent="0.25">
      <c r="A8" s="23" t="s">
        <v>28</v>
      </c>
      <c r="B8" s="24">
        <v>3</v>
      </c>
      <c r="C8" s="24"/>
      <c r="D8" s="24">
        <v>0.75</v>
      </c>
      <c r="E8" s="24">
        <v>2</v>
      </c>
      <c r="F8" s="24">
        <v>3</v>
      </c>
      <c r="G8" s="24"/>
      <c r="H8" s="24"/>
      <c r="I8" s="24">
        <v>5</v>
      </c>
      <c r="J8" s="24">
        <v>3.25</v>
      </c>
      <c r="K8" s="24">
        <v>1.5</v>
      </c>
      <c r="L8" s="24"/>
      <c r="M8" s="24"/>
      <c r="N8" s="24"/>
      <c r="O8" s="24"/>
      <c r="P8" s="25">
        <f t="shared" si="1"/>
        <v>18.5</v>
      </c>
    </row>
    <row r="9" spans="1:16" ht="20.25" customHeight="1" x14ac:dyDescent="0.25">
      <c r="A9" s="23" t="s">
        <v>25</v>
      </c>
      <c r="B9" s="24"/>
      <c r="C9" s="24"/>
      <c r="D9" s="24"/>
      <c r="E9" s="24"/>
      <c r="F9" s="24"/>
      <c r="G9" s="24"/>
      <c r="H9" s="24"/>
      <c r="I9" s="24"/>
      <c r="J9" s="24"/>
      <c r="K9" s="24">
        <v>1.5</v>
      </c>
      <c r="L9" s="24">
        <v>1.75</v>
      </c>
      <c r="M9" s="24"/>
      <c r="N9" s="24"/>
      <c r="O9" s="24"/>
      <c r="P9" s="25">
        <f t="shared" si="1"/>
        <v>3.25</v>
      </c>
    </row>
    <row r="10" spans="1:16" ht="20.25" customHeight="1" x14ac:dyDescent="0.25">
      <c r="A10" s="23" t="s">
        <v>26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>
        <v>2.5</v>
      </c>
      <c r="N10" s="24"/>
      <c r="O10" s="24"/>
      <c r="P10" s="25">
        <f t="shared" si="1"/>
        <v>2.5</v>
      </c>
    </row>
    <row r="11" spans="1:16" ht="20.25" customHeight="1" x14ac:dyDescent="0.25">
      <c r="A11" s="23" t="s">
        <v>20</v>
      </c>
      <c r="B11" s="24">
        <v>1.5</v>
      </c>
      <c r="C11" s="24">
        <v>2.75</v>
      </c>
      <c r="D11" s="24">
        <v>1.25</v>
      </c>
      <c r="E11" s="24"/>
      <c r="F11" s="24"/>
      <c r="G11" s="24"/>
      <c r="H11" s="24"/>
      <c r="I11" s="24"/>
      <c r="J11" s="24"/>
      <c r="K11" s="24"/>
      <c r="L11" s="24">
        <v>2.5</v>
      </c>
      <c r="M11" s="24"/>
      <c r="N11" s="24"/>
      <c r="O11" s="24"/>
      <c r="P11" s="25">
        <f t="shared" si="1"/>
        <v>8</v>
      </c>
    </row>
    <row r="12" spans="1:16" ht="20.25" customHeight="1" x14ac:dyDescent="0.25">
      <c r="A12" s="23" t="s">
        <v>19</v>
      </c>
      <c r="B12" s="24"/>
      <c r="C12" s="24"/>
      <c r="D12" s="24"/>
      <c r="E12" s="24">
        <v>0.5</v>
      </c>
      <c r="F12" s="24">
        <v>0.75</v>
      </c>
      <c r="G12" s="24"/>
      <c r="H12" s="24"/>
      <c r="I12" s="24">
        <v>1.75</v>
      </c>
      <c r="J12" s="24"/>
      <c r="K12" s="24"/>
      <c r="L12" s="24"/>
      <c r="M12" s="24"/>
      <c r="N12" s="24"/>
      <c r="O12" s="24"/>
      <c r="P12" s="25">
        <f t="shared" si="1"/>
        <v>3</v>
      </c>
    </row>
    <row r="13" spans="1:16" ht="20.25" customHeight="1" x14ac:dyDescent="0.25">
      <c r="A13" s="23" t="s">
        <v>52</v>
      </c>
      <c r="B13" s="24">
        <v>3</v>
      </c>
      <c r="C13" s="24">
        <v>2.75</v>
      </c>
      <c r="D13" s="24">
        <v>3</v>
      </c>
      <c r="E13" s="24">
        <v>4</v>
      </c>
      <c r="F13" s="24">
        <v>4</v>
      </c>
      <c r="G13" s="24"/>
      <c r="H13" s="24"/>
      <c r="I13" s="24">
        <v>0.25</v>
      </c>
      <c r="J13" s="24"/>
      <c r="K13" s="24">
        <v>5</v>
      </c>
      <c r="L13" s="24">
        <v>3</v>
      </c>
      <c r="M13" s="24">
        <v>4</v>
      </c>
      <c r="N13" s="24"/>
      <c r="O13" s="24"/>
      <c r="P13" s="25">
        <f t="shared" si="1"/>
        <v>29</v>
      </c>
    </row>
    <row r="14" spans="1:16" ht="20.25" customHeight="1" x14ac:dyDescent="0.25">
      <c r="A14" s="23" t="s">
        <v>27</v>
      </c>
      <c r="B14" s="24"/>
      <c r="C14" s="24"/>
      <c r="D14" s="24"/>
      <c r="E14" s="24"/>
      <c r="F14" s="24"/>
      <c r="G14" s="24"/>
      <c r="H14" s="24"/>
      <c r="I14" s="24"/>
      <c r="J14" s="24">
        <v>4</v>
      </c>
      <c r="K14" s="24"/>
      <c r="L14" s="24"/>
      <c r="M14" s="24"/>
      <c r="N14" s="24"/>
      <c r="O14" s="24"/>
      <c r="P14" s="25">
        <f t="shared" si="1"/>
        <v>4</v>
      </c>
    </row>
    <row r="15" spans="1:16" ht="20.25" customHeight="1" x14ac:dyDescent="0.25">
      <c r="A15" s="23" t="s">
        <v>18</v>
      </c>
      <c r="B15" s="24"/>
      <c r="C15" s="24">
        <v>1</v>
      </c>
      <c r="D15" s="24"/>
      <c r="E15" s="24">
        <v>1</v>
      </c>
      <c r="F15" s="24"/>
      <c r="G15" s="24"/>
      <c r="H15" s="24"/>
      <c r="I15" s="24">
        <v>1</v>
      </c>
      <c r="J15" s="24"/>
      <c r="K15" s="24"/>
      <c r="L15" s="24"/>
      <c r="M15" s="24">
        <v>1</v>
      </c>
      <c r="N15" s="24"/>
      <c r="O15" s="24"/>
      <c r="P15" s="25">
        <f t="shared" si="1"/>
        <v>4</v>
      </c>
    </row>
    <row r="16" spans="1:16" ht="20.25" customHeight="1" x14ac:dyDescent="0.2">
      <c r="A16" s="15" t="s">
        <v>38</v>
      </c>
      <c r="B16" s="14">
        <f t="shared" ref="B16:P16" si="2">SUM(B7:B15)</f>
        <v>8</v>
      </c>
      <c r="C16" s="14">
        <f t="shared" si="2"/>
        <v>8</v>
      </c>
      <c r="D16" s="14">
        <f t="shared" si="2"/>
        <v>8</v>
      </c>
      <c r="E16" s="14">
        <f t="shared" si="2"/>
        <v>8</v>
      </c>
      <c r="F16" s="14">
        <f t="shared" si="2"/>
        <v>8</v>
      </c>
      <c r="G16" s="14">
        <f t="shared" si="2"/>
        <v>0</v>
      </c>
      <c r="H16" s="14">
        <f t="shared" si="2"/>
        <v>0</v>
      </c>
      <c r="I16" s="14">
        <f t="shared" si="2"/>
        <v>8</v>
      </c>
      <c r="J16" s="14">
        <f t="shared" si="2"/>
        <v>8</v>
      </c>
      <c r="K16" s="14">
        <f t="shared" si="2"/>
        <v>8</v>
      </c>
      <c r="L16" s="14">
        <f t="shared" si="2"/>
        <v>8</v>
      </c>
      <c r="M16" s="14">
        <f t="shared" si="2"/>
        <v>8</v>
      </c>
      <c r="N16" s="14">
        <f t="shared" si="2"/>
        <v>0</v>
      </c>
      <c r="O16" s="14">
        <f t="shared" si="2"/>
        <v>0</v>
      </c>
      <c r="P16" s="14">
        <f t="shared" si="2"/>
        <v>80</v>
      </c>
    </row>
    <row r="17" spans="1:20" ht="20.25" customHeight="1" x14ac:dyDescent="0.25">
      <c r="A17"/>
      <c r="B17"/>
      <c r="C17"/>
      <c r="D17"/>
      <c r="E17"/>
      <c r="F17"/>
      <c r="G17" s="23" t="s">
        <v>59</v>
      </c>
      <c r="H17" s="14">
        <f>SUM(B16:H16)</f>
        <v>40</v>
      </c>
      <c r="I17"/>
      <c r="J17"/>
      <c r="K17"/>
      <c r="L17"/>
      <c r="M17"/>
      <c r="N17" s="23" t="s">
        <v>60</v>
      </c>
      <c r="O17" s="14">
        <f>SUM(I16:O16)</f>
        <v>40</v>
      </c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</sheetData>
  <sortState ref="A7:P15">
    <sortCondition ref="A7:A15"/>
  </sortState>
  <dataConsolidate/>
  <conditionalFormatting sqref="G16:H16 N16:O16">
    <cfRule type="cellIs" dxfId="228" priority="1" operator="greaterThan">
      <formula>8</formula>
    </cfRule>
  </conditionalFormatting>
  <conditionalFormatting sqref="B16:F16 I16:M16">
    <cfRule type="cellIs" dxfId="227" priority="6" operator="greaterThan">
      <formula>8</formula>
    </cfRule>
    <cfRule type="cellIs" dxfId="226" priority="311" operator="equal">
      <formula>8</formula>
    </cfRule>
  </conditionalFormatting>
  <conditionalFormatting sqref="P7:P15">
    <cfRule type="cellIs" dxfId="225" priority="5" operator="greaterThan">
      <formula>80</formula>
    </cfRule>
  </conditionalFormatting>
  <conditionalFormatting sqref="P16">
    <cfRule type="cellIs" dxfId="224" priority="4" operator="greaterThan">
      <formula>80</formula>
    </cfRule>
    <cfRule type="cellIs" dxfId="223" priority="312" operator="equal">
      <formula>80</formula>
    </cfRule>
  </conditionalFormatting>
  <conditionalFormatting sqref="H17">
    <cfRule type="cellIs" dxfId="222" priority="3" operator="greaterThan">
      <formula>40</formula>
    </cfRule>
    <cfRule type="cellIs" dxfId="221" priority="313" operator="equal">
      <formula>40</formula>
    </cfRule>
  </conditionalFormatting>
  <conditionalFormatting sqref="O17">
    <cfRule type="cellIs" dxfId="220" priority="2" operator="greaterThan">
      <formula>40</formula>
    </cfRule>
    <cfRule type="cellIs" dxfId="219" priority="314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74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7457" r:id="rId4" name="btnAddActivity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T215"/>
  <sheetViews>
    <sheetView workbookViewId="0">
      <selection activeCell="B2" sqref="B2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August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INDEX(Refs!D:D,MATCH('FY13-16'!B1 &amp; 'FY13-16'!B2,Refs!K:K,0))</f>
        <v>41477</v>
      </c>
      <c r="C5" s="12">
        <f>B5+1</f>
        <v>41478</v>
      </c>
      <c r="D5" s="12">
        <f t="shared" ref="D5:O5" si="0">C5+1</f>
        <v>41479</v>
      </c>
      <c r="E5" s="12">
        <f t="shared" si="0"/>
        <v>41480</v>
      </c>
      <c r="F5" s="12">
        <f t="shared" si="0"/>
        <v>41481</v>
      </c>
      <c r="G5" s="12">
        <f t="shared" si="0"/>
        <v>41482</v>
      </c>
      <c r="H5" s="12">
        <f t="shared" si="0"/>
        <v>41483</v>
      </c>
      <c r="I5" s="12">
        <f t="shared" si="0"/>
        <v>41484</v>
      </c>
      <c r="J5" s="12">
        <f t="shared" si="0"/>
        <v>41485</v>
      </c>
      <c r="K5" s="12">
        <f t="shared" si="0"/>
        <v>41486</v>
      </c>
      <c r="L5" s="12">
        <f t="shared" si="0"/>
        <v>41487</v>
      </c>
      <c r="M5" s="12">
        <f t="shared" si="0"/>
        <v>41488</v>
      </c>
      <c r="N5" s="12">
        <f t="shared" si="0"/>
        <v>41489</v>
      </c>
      <c r="O5" s="12">
        <f t="shared" si="0"/>
        <v>41490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3" t="s">
        <v>17</v>
      </c>
      <c r="B7" s="24">
        <v>1.5</v>
      </c>
      <c r="C7" s="24">
        <v>1</v>
      </c>
      <c r="D7" s="24"/>
      <c r="E7" s="24">
        <v>0.5</v>
      </c>
      <c r="F7" s="24">
        <v>1</v>
      </c>
      <c r="G7" s="24"/>
      <c r="H7" s="24"/>
      <c r="I7" s="24"/>
      <c r="J7" s="24">
        <v>1</v>
      </c>
      <c r="K7" s="24">
        <v>2</v>
      </c>
      <c r="L7" s="24">
        <v>2</v>
      </c>
      <c r="M7" s="24"/>
      <c r="N7" s="24"/>
      <c r="O7" s="24"/>
      <c r="P7" s="25">
        <f t="shared" ref="P7:P14" si="1">SUM(B7:O7)</f>
        <v>9</v>
      </c>
    </row>
    <row r="8" spans="1:20" ht="20.25" customHeight="1" x14ac:dyDescent="0.25">
      <c r="A8" s="23" t="s">
        <v>28</v>
      </c>
      <c r="B8" s="24">
        <v>5.5</v>
      </c>
      <c r="C8" s="24">
        <v>4.5</v>
      </c>
      <c r="D8" s="24">
        <v>3.5</v>
      </c>
      <c r="E8" s="24">
        <v>2</v>
      </c>
      <c r="F8" s="24">
        <v>2</v>
      </c>
      <c r="G8" s="24"/>
      <c r="H8" s="24"/>
      <c r="I8" s="24">
        <v>3</v>
      </c>
      <c r="J8" s="24">
        <v>4.25</v>
      </c>
      <c r="K8" s="24">
        <v>3.5</v>
      </c>
      <c r="L8" s="24">
        <v>5.5</v>
      </c>
      <c r="M8" s="24">
        <v>3</v>
      </c>
      <c r="N8" s="24"/>
      <c r="O8" s="24"/>
      <c r="P8" s="25">
        <f t="shared" si="1"/>
        <v>36.75</v>
      </c>
    </row>
    <row r="9" spans="1:20" ht="20.25" customHeight="1" x14ac:dyDescent="0.25">
      <c r="A9" s="23" t="s">
        <v>20</v>
      </c>
      <c r="B9" s="24"/>
      <c r="C9" s="24">
        <v>2.5</v>
      </c>
      <c r="D9" s="24">
        <v>0.5</v>
      </c>
      <c r="E9" s="24"/>
      <c r="F9" s="24"/>
      <c r="G9" s="24"/>
      <c r="H9" s="24"/>
      <c r="I9" s="24"/>
      <c r="J9" s="24">
        <v>0.75</v>
      </c>
      <c r="K9" s="24">
        <v>1.75</v>
      </c>
      <c r="L9" s="24">
        <v>0.5</v>
      </c>
      <c r="M9" s="24">
        <v>3</v>
      </c>
      <c r="N9" s="24"/>
      <c r="O9" s="24"/>
      <c r="P9" s="25">
        <f t="shared" si="1"/>
        <v>9</v>
      </c>
    </row>
    <row r="10" spans="1:20" ht="20.25" customHeight="1" x14ac:dyDescent="0.25">
      <c r="A10" s="23" t="s">
        <v>19</v>
      </c>
      <c r="B10" s="24">
        <v>1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1</v>
      </c>
    </row>
    <row r="11" spans="1:20" ht="20.25" customHeight="1" x14ac:dyDescent="0.25">
      <c r="A11" s="23" t="s">
        <v>52</v>
      </c>
      <c r="B11" s="24"/>
      <c r="C11" s="24"/>
      <c r="D11" s="24"/>
      <c r="E11" s="24">
        <v>4.5</v>
      </c>
      <c r="F11" s="24"/>
      <c r="G11" s="24"/>
      <c r="H11" s="24"/>
      <c r="I11" s="24">
        <v>1.5</v>
      </c>
      <c r="J11" s="24">
        <v>2</v>
      </c>
      <c r="K11" s="24"/>
      <c r="L11" s="24"/>
      <c r="M11" s="24"/>
      <c r="N11" s="24"/>
      <c r="O11" s="24"/>
      <c r="P11" s="25">
        <f t="shared" si="1"/>
        <v>8</v>
      </c>
    </row>
    <row r="12" spans="1:20" ht="20.25" customHeight="1" x14ac:dyDescent="0.25">
      <c r="A12" s="23" t="s">
        <v>29</v>
      </c>
      <c r="B12" s="24"/>
      <c r="C12" s="24"/>
      <c r="D12" s="24">
        <v>4</v>
      </c>
      <c r="E12" s="24"/>
      <c r="F12" s="24"/>
      <c r="G12" s="24"/>
      <c r="H12" s="24"/>
      <c r="I12" s="24"/>
      <c r="J12" s="24"/>
      <c r="K12" s="24"/>
      <c r="L12" s="24"/>
      <c r="M12" s="24">
        <v>2</v>
      </c>
      <c r="N12" s="24"/>
      <c r="O12" s="24"/>
      <c r="P12" s="25">
        <f t="shared" si="1"/>
        <v>6</v>
      </c>
    </row>
    <row r="13" spans="1:20" ht="20.25" customHeight="1" x14ac:dyDescent="0.25">
      <c r="A13" s="23" t="s">
        <v>22</v>
      </c>
      <c r="B13" s="24"/>
      <c r="C13" s="24"/>
      <c r="D13" s="24"/>
      <c r="E13" s="24"/>
      <c r="F13" s="24">
        <v>5</v>
      </c>
      <c r="G13" s="24"/>
      <c r="H13" s="24"/>
      <c r="I13" s="24"/>
      <c r="J13" s="24"/>
      <c r="K13" s="24"/>
      <c r="L13" s="24"/>
      <c r="M13" s="24"/>
      <c r="N13" s="24"/>
      <c r="O13" s="24"/>
      <c r="P13" s="25">
        <f t="shared" si="1"/>
        <v>5</v>
      </c>
    </row>
    <row r="14" spans="1:20" ht="20.25" customHeight="1" x14ac:dyDescent="0.25">
      <c r="A14" s="23" t="s">
        <v>18</v>
      </c>
      <c r="B14" s="24"/>
      <c r="C14" s="24"/>
      <c r="D14" s="24"/>
      <c r="E14" s="24">
        <v>1</v>
      </c>
      <c r="F14" s="24"/>
      <c r="G14" s="24"/>
      <c r="H14" s="24"/>
      <c r="I14" s="24">
        <v>3.5</v>
      </c>
      <c r="J14" s="24"/>
      <c r="K14" s="24">
        <v>0.75</v>
      </c>
      <c r="L14" s="24"/>
      <c r="M14" s="24"/>
      <c r="N14" s="24"/>
      <c r="O14" s="24"/>
      <c r="P14" s="25">
        <f t="shared" si="1"/>
        <v>5.25</v>
      </c>
    </row>
    <row r="15" spans="1:20" ht="20.25" customHeight="1" x14ac:dyDescent="0.2">
      <c r="A15" s="15" t="s">
        <v>38</v>
      </c>
      <c r="B15" s="14">
        <f t="shared" ref="B15:P15" si="2">SUM(B7:B14)</f>
        <v>8</v>
      </c>
      <c r="C15" s="14">
        <f t="shared" si="2"/>
        <v>8</v>
      </c>
      <c r="D15" s="14">
        <f t="shared" si="2"/>
        <v>8</v>
      </c>
      <c r="E15" s="14">
        <f t="shared" si="2"/>
        <v>8</v>
      </c>
      <c r="F15" s="14">
        <f t="shared" si="2"/>
        <v>8</v>
      </c>
      <c r="G15" s="14">
        <f t="shared" si="2"/>
        <v>0</v>
      </c>
      <c r="H15" s="14">
        <f t="shared" si="2"/>
        <v>0</v>
      </c>
      <c r="I15" s="14">
        <f t="shared" si="2"/>
        <v>8</v>
      </c>
      <c r="J15" s="14">
        <f t="shared" si="2"/>
        <v>8</v>
      </c>
      <c r="K15" s="14">
        <f t="shared" si="2"/>
        <v>8</v>
      </c>
      <c r="L15" s="14">
        <f t="shared" si="2"/>
        <v>8</v>
      </c>
      <c r="M15" s="14">
        <f t="shared" si="2"/>
        <v>8</v>
      </c>
      <c r="N15" s="14">
        <f t="shared" si="2"/>
        <v>0</v>
      </c>
      <c r="O15" s="14">
        <f t="shared" si="2"/>
        <v>0</v>
      </c>
      <c r="P15" s="14">
        <f t="shared" si="2"/>
        <v>80</v>
      </c>
    </row>
    <row r="16" spans="1:20" ht="20.25" customHeight="1" x14ac:dyDescent="0.25">
      <c r="A16"/>
      <c r="B16"/>
      <c r="C16"/>
      <c r="D16"/>
      <c r="E16"/>
      <c r="F16"/>
      <c r="G16" s="23" t="s">
        <v>59</v>
      </c>
      <c r="H16" s="14">
        <f>SUM(B15:H15)</f>
        <v>40</v>
      </c>
      <c r="I16"/>
      <c r="J16"/>
      <c r="K16"/>
      <c r="L16"/>
      <c r="M16"/>
      <c r="N16" s="23" t="s">
        <v>60</v>
      </c>
      <c r="O16" s="14">
        <f>SUM(I15:O15)</f>
        <v>40</v>
      </c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</sheetData>
  <sortState ref="A7:P14">
    <sortCondition ref="A7:A14"/>
  </sortState>
  <dataConsolidate/>
  <conditionalFormatting sqref="G15:H15 N15:O15">
    <cfRule type="cellIs" dxfId="218" priority="1" operator="greaterThan">
      <formula>8</formula>
    </cfRule>
  </conditionalFormatting>
  <conditionalFormatting sqref="B15:F15 I15:M15">
    <cfRule type="cellIs" dxfId="217" priority="6" operator="greaterThan">
      <formula>8</formula>
    </cfRule>
    <cfRule type="cellIs" dxfId="216" priority="263" operator="equal">
      <formula>8</formula>
    </cfRule>
  </conditionalFormatting>
  <conditionalFormatting sqref="P7:P14">
    <cfRule type="cellIs" dxfId="215" priority="5" operator="greaterThan">
      <formula>80</formula>
    </cfRule>
  </conditionalFormatting>
  <conditionalFormatting sqref="P15">
    <cfRule type="cellIs" dxfId="214" priority="4" operator="greaterThan">
      <formula>80</formula>
    </cfRule>
    <cfRule type="cellIs" dxfId="213" priority="264" operator="equal">
      <formula>80</formula>
    </cfRule>
  </conditionalFormatting>
  <conditionalFormatting sqref="H16">
    <cfRule type="cellIs" dxfId="212" priority="3" operator="greaterThan">
      <formula>40</formula>
    </cfRule>
    <cfRule type="cellIs" dxfId="211" priority="265" operator="equal">
      <formula>40</formula>
    </cfRule>
  </conditionalFormatting>
  <conditionalFormatting sqref="O16">
    <cfRule type="cellIs" dxfId="210" priority="2" operator="greaterThan">
      <formula>40</formula>
    </cfRule>
    <cfRule type="cellIs" dxfId="209" priority="266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4848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48481" r:id="rId4" name="btnAddActivity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6"/>
  <dimension ref="A1:T217"/>
  <sheetViews>
    <sheetView workbookViewId="0">
      <selection activeCell="E15" sqref="E1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INDEX(Refs!D:D,MATCH('FY13-15'!B1 &amp; 'FY13-15'!B2,Refs!K:K,0))</f>
        <v>41463</v>
      </c>
      <c r="C5" s="12">
        <f>B5+1</f>
        <v>41464</v>
      </c>
      <c r="D5" s="12">
        <f t="shared" ref="D5:O5" si="0">C5+1</f>
        <v>41465</v>
      </c>
      <c r="E5" s="12">
        <f t="shared" si="0"/>
        <v>41466</v>
      </c>
      <c r="F5" s="12">
        <f t="shared" si="0"/>
        <v>41467</v>
      </c>
      <c r="G5" s="12">
        <f t="shared" si="0"/>
        <v>41468</v>
      </c>
      <c r="H5" s="12">
        <f t="shared" si="0"/>
        <v>41469</v>
      </c>
      <c r="I5" s="12">
        <f t="shared" si="0"/>
        <v>41470</v>
      </c>
      <c r="J5" s="12">
        <f t="shared" si="0"/>
        <v>41471</v>
      </c>
      <c r="K5" s="12">
        <f t="shared" si="0"/>
        <v>41472</v>
      </c>
      <c r="L5" s="12">
        <f t="shared" si="0"/>
        <v>41473</v>
      </c>
      <c r="M5" s="12">
        <f t="shared" si="0"/>
        <v>41474</v>
      </c>
      <c r="N5" s="12">
        <f t="shared" si="0"/>
        <v>41475</v>
      </c>
      <c r="O5" s="12">
        <f t="shared" si="0"/>
        <v>41476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1</v>
      </c>
      <c r="C7" s="24"/>
      <c r="D7" s="24">
        <v>1.75</v>
      </c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5">
        <f t="shared" ref="P7:P16" si="1">SUM(B7:O7)</f>
        <v>2.75</v>
      </c>
    </row>
    <row r="8" spans="1:16" ht="20.25" customHeight="1" x14ac:dyDescent="0.25">
      <c r="A8" s="23" t="s">
        <v>28</v>
      </c>
      <c r="B8" s="24">
        <v>2.5</v>
      </c>
      <c r="C8" s="24">
        <v>3.5</v>
      </c>
      <c r="D8" s="24">
        <v>2.5</v>
      </c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5">
        <f t="shared" si="1"/>
        <v>8.5</v>
      </c>
    </row>
    <row r="9" spans="1:16" ht="20.25" customHeight="1" x14ac:dyDescent="0.25">
      <c r="A9" s="23" t="s">
        <v>25</v>
      </c>
      <c r="B9" s="24"/>
      <c r="C9" s="24"/>
      <c r="D9" s="24">
        <v>1.5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5">
        <f t="shared" si="1"/>
        <v>1.5</v>
      </c>
    </row>
    <row r="10" spans="1:16" ht="20.25" customHeight="1" x14ac:dyDescent="0.25">
      <c r="A10" s="23" t="s">
        <v>20</v>
      </c>
      <c r="B10" s="24"/>
      <c r="C10" s="24">
        <v>1.5</v>
      </c>
      <c r="D10" s="24">
        <v>1.5</v>
      </c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3</v>
      </c>
    </row>
    <row r="11" spans="1:16" ht="20.25" customHeight="1" x14ac:dyDescent="0.25">
      <c r="A11" s="23" t="s">
        <v>21</v>
      </c>
      <c r="B11" s="24">
        <v>2</v>
      </c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>
        <f t="shared" si="1"/>
        <v>2</v>
      </c>
    </row>
    <row r="12" spans="1:16" ht="20.25" customHeight="1" x14ac:dyDescent="0.25">
      <c r="A12" s="23" t="s">
        <v>19</v>
      </c>
      <c r="B12" s="24">
        <v>1.5</v>
      </c>
      <c r="C12" s="24">
        <v>0.25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5">
        <f t="shared" si="1"/>
        <v>1.75</v>
      </c>
    </row>
    <row r="13" spans="1:16" ht="20.25" customHeight="1" x14ac:dyDescent="0.25">
      <c r="A13" s="23" t="s">
        <v>52</v>
      </c>
      <c r="B13" s="24"/>
      <c r="C13" s="24">
        <v>1</v>
      </c>
      <c r="D13" s="24">
        <v>0.75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5">
        <f t="shared" si="1"/>
        <v>1.75</v>
      </c>
    </row>
    <row r="14" spans="1:16" ht="20.25" customHeight="1" x14ac:dyDescent="0.25">
      <c r="A14" s="23" t="s">
        <v>29</v>
      </c>
      <c r="B14" s="24">
        <v>0.75</v>
      </c>
      <c r="C14" s="24">
        <v>0.5</v>
      </c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5">
        <f t="shared" si="1"/>
        <v>1.25</v>
      </c>
    </row>
    <row r="15" spans="1:16" ht="20.25" customHeight="1" x14ac:dyDescent="0.25">
      <c r="A15" s="23" t="s">
        <v>27</v>
      </c>
      <c r="B15" s="24"/>
      <c r="C15" s="24"/>
      <c r="D15" s="24"/>
      <c r="E15" s="24">
        <v>8</v>
      </c>
      <c r="F15" s="24">
        <v>8</v>
      </c>
      <c r="G15" s="24"/>
      <c r="H15" s="24"/>
      <c r="I15" s="24">
        <v>8</v>
      </c>
      <c r="J15" s="24">
        <v>8</v>
      </c>
      <c r="K15" s="24">
        <v>8</v>
      </c>
      <c r="L15" s="24">
        <v>8</v>
      </c>
      <c r="M15" s="24">
        <v>8</v>
      </c>
      <c r="N15" s="24"/>
      <c r="O15" s="24"/>
      <c r="P15" s="25">
        <f t="shared" si="1"/>
        <v>56</v>
      </c>
    </row>
    <row r="16" spans="1:16" ht="20.25" customHeight="1" x14ac:dyDescent="0.25">
      <c r="A16" s="23" t="s">
        <v>18</v>
      </c>
      <c r="B16" s="24">
        <v>0.25</v>
      </c>
      <c r="C16" s="24">
        <v>1.25</v>
      </c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5">
        <f t="shared" si="1"/>
        <v>1.5</v>
      </c>
    </row>
    <row r="17" spans="1:20" ht="20.25" customHeight="1" x14ac:dyDescent="0.2">
      <c r="A17" s="15" t="s">
        <v>38</v>
      </c>
      <c r="B17" s="14">
        <f t="shared" ref="B17:P17" si="2">SUM(B7:B16)</f>
        <v>8</v>
      </c>
      <c r="C17" s="14">
        <f t="shared" si="2"/>
        <v>8</v>
      </c>
      <c r="D17" s="14">
        <f t="shared" si="2"/>
        <v>8</v>
      </c>
      <c r="E17" s="14">
        <f t="shared" si="2"/>
        <v>8</v>
      </c>
      <c r="F17" s="14">
        <f t="shared" si="2"/>
        <v>8</v>
      </c>
      <c r="G17" s="14">
        <f t="shared" si="2"/>
        <v>0</v>
      </c>
      <c r="H17" s="14">
        <f t="shared" si="2"/>
        <v>0</v>
      </c>
      <c r="I17" s="14">
        <f t="shared" si="2"/>
        <v>8</v>
      </c>
      <c r="J17" s="14">
        <f t="shared" si="2"/>
        <v>8</v>
      </c>
      <c r="K17" s="14">
        <f t="shared" si="2"/>
        <v>8</v>
      </c>
      <c r="L17" s="14">
        <f t="shared" si="2"/>
        <v>8</v>
      </c>
      <c r="M17" s="14">
        <f t="shared" si="2"/>
        <v>8</v>
      </c>
      <c r="N17" s="14">
        <f t="shared" si="2"/>
        <v>0</v>
      </c>
      <c r="O17" s="14">
        <f t="shared" si="2"/>
        <v>0</v>
      </c>
      <c r="P17" s="14">
        <f t="shared" si="2"/>
        <v>80</v>
      </c>
    </row>
    <row r="18" spans="1:20" ht="20.25" customHeight="1" x14ac:dyDescent="0.25">
      <c r="A18"/>
      <c r="B18"/>
      <c r="C18"/>
      <c r="D18"/>
      <c r="E18"/>
      <c r="F18"/>
      <c r="G18" s="23" t="s">
        <v>59</v>
      </c>
      <c r="H18" s="14">
        <f>SUM(B17:H17)</f>
        <v>40</v>
      </c>
      <c r="I18"/>
      <c r="J18"/>
      <c r="K18"/>
      <c r="L18"/>
      <c r="M18"/>
      <c r="N18" s="23" t="s">
        <v>60</v>
      </c>
      <c r="O18" s="14">
        <f>SUM(I17:O17)</f>
        <v>40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dataConsolidate/>
  <conditionalFormatting sqref="B17:F17 I17:M17">
    <cfRule type="cellIs" dxfId="208" priority="6" operator="greaterThan">
      <formula>8</formula>
    </cfRule>
    <cfRule type="cellIs" dxfId="207" priority="151" operator="equal">
      <formula>8</formula>
    </cfRule>
  </conditionalFormatting>
  <conditionalFormatting sqref="P7:P16">
    <cfRule type="cellIs" dxfId="206" priority="5" operator="greaterThan">
      <formula>80</formula>
    </cfRule>
  </conditionalFormatting>
  <conditionalFormatting sqref="P17">
    <cfRule type="cellIs" dxfId="205" priority="4" operator="greaterThan">
      <formula>80</formula>
    </cfRule>
    <cfRule type="cellIs" dxfId="204" priority="152" operator="equal">
      <formula>80</formula>
    </cfRule>
  </conditionalFormatting>
  <conditionalFormatting sqref="H18">
    <cfRule type="cellIs" dxfId="203" priority="3" operator="greaterThan">
      <formula>40</formula>
    </cfRule>
    <cfRule type="cellIs" dxfId="202" priority="153" operator="equal">
      <formula>40</formula>
    </cfRule>
  </conditionalFormatting>
  <conditionalFormatting sqref="O18">
    <cfRule type="cellIs" dxfId="201" priority="2" operator="greaterThan">
      <formula>40</formula>
    </cfRule>
    <cfRule type="cellIs" dxfId="200" priority="154" operator="equal">
      <formula>40</formula>
    </cfRule>
  </conditionalFormatting>
  <conditionalFormatting sqref="G17:H17 N17:O17">
    <cfRule type="cellIs" dxfId="19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878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18785" r:id="rId4" name="btnAddActivity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7"/>
  <dimension ref="A1:T217"/>
  <sheetViews>
    <sheetView workbookViewId="0">
      <selection activeCell="C7" sqref="C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July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INDEX(Refs!D:D,MATCH('FY13-14'!B1 &amp; 'FY13-14'!B2,Refs!K:K,0))</f>
        <v>41449</v>
      </c>
      <c r="C5" s="12">
        <f>B5+1</f>
        <v>41450</v>
      </c>
      <c r="D5" s="12">
        <f t="shared" ref="D5:O5" si="0">C5+1</f>
        <v>41451</v>
      </c>
      <c r="E5" s="12">
        <f t="shared" si="0"/>
        <v>41452</v>
      </c>
      <c r="F5" s="12">
        <f t="shared" si="0"/>
        <v>41453</v>
      </c>
      <c r="G5" s="12">
        <f t="shared" si="0"/>
        <v>41454</v>
      </c>
      <c r="H5" s="12">
        <f t="shared" si="0"/>
        <v>41455</v>
      </c>
      <c r="I5" s="12">
        <f t="shared" si="0"/>
        <v>41456</v>
      </c>
      <c r="J5" s="12">
        <f t="shared" si="0"/>
        <v>41457</v>
      </c>
      <c r="K5" s="12">
        <f t="shared" si="0"/>
        <v>41458</v>
      </c>
      <c r="L5" s="12">
        <f t="shared" si="0"/>
        <v>41459</v>
      </c>
      <c r="M5" s="12">
        <f t="shared" si="0"/>
        <v>41460</v>
      </c>
      <c r="N5" s="12">
        <f t="shared" si="0"/>
        <v>41461</v>
      </c>
      <c r="O5" s="12">
        <f t="shared" si="0"/>
        <v>41462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/>
      <c r="D7" s="24">
        <v>8</v>
      </c>
      <c r="E7" s="24">
        <v>2</v>
      </c>
      <c r="F7" s="24"/>
      <c r="G7" s="24"/>
      <c r="H7" s="24"/>
      <c r="I7" s="24">
        <v>1.5</v>
      </c>
      <c r="J7" s="24">
        <v>0.5</v>
      </c>
      <c r="K7" s="24"/>
      <c r="L7" s="24"/>
      <c r="M7" s="24"/>
      <c r="N7" s="24"/>
      <c r="O7" s="24"/>
      <c r="P7" s="25">
        <f t="shared" ref="P7:P16" si="1">SUM(B7:O7)</f>
        <v>12</v>
      </c>
    </row>
    <row r="8" spans="1:16" ht="20.25" customHeight="1" x14ac:dyDescent="0.25">
      <c r="A8" s="23" t="s">
        <v>28</v>
      </c>
      <c r="B8" s="24"/>
      <c r="C8" s="24"/>
      <c r="D8" s="24"/>
      <c r="E8" s="24">
        <v>3.25</v>
      </c>
      <c r="F8" s="24">
        <v>0.5</v>
      </c>
      <c r="G8" s="24"/>
      <c r="H8" s="24"/>
      <c r="I8" s="24">
        <v>2.5</v>
      </c>
      <c r="J8" s="24">
        <v>1.5</v>
      </c>
      <c r="K8" s="24">
        <v>1.75</v>
      </c>
      <c r="L8" s="24"/>
      <c r="M8" s="24">
        <v>2</v>
      </c>
      <c r="N8" s="24"/>
      <c r="O8" s="24"/>
      <c r="P8" s="25">
        <f t="shared" si="1"/>
        <v>11.5</v>
      </c>
    </row>
    <row r="9" spans="1:16" ht="20.25" customHeight="1" x14ac:dyDescent="0.25">
      <c r="A9" s="23" t="s">
        <v>25</v>
      </c>
      <c r="B9" s="24"/>
      <c r="C9" s="24"/>
      <c r="D9" s="24"/>
      <c r="E9" s="24">
        <v>1</v>
      </c>
      <c r="F9" s="24"/>
      <c r="G9" s="24"/>
      <c r="H9" s="24"/>
      <c r="I9" s="24"/>
      <c r="J9" s="24"/>
      <c r="K9" s="24">
        <v>1</v>
      </c>
      <c r="L9" s="24"/>
      <c r="M9" s="24"/>
      <c r="N9" s="24"/>
      <c r="O9" s="24"/>
      <c r="P9" s="25">
        <f t="shared" si="1"/>
        <v>2</v>
      </c>
    </row>
    <row r="10" spans="1:16" ht="20.25" customHeight="1" x14ac:dyDescent="0.25">
      <c r="A10" s="23" t="s">
        <v>51</v>
      </c>
      <c r="B10" s="24"/>
      <c r="C10" s="24"/>
      <c r="D10" s="24"/>
      <c r="E10" s="24">
        <v>4.5</v>
      </c>
      <c r="F10" s="24">
        <v>6.5</v>
      </c>
      <c r="G10" s="24">
        <v>9</v>
      </c>
      <c r="H10" s="24"/>
      <c r="I10" s="24"/>
      <c r="J10" s="24"/>
      <c r="K10" s="24"/>
      <c r="L10" s="24"/>
      <c r="M10" s="24"/>
      <c r="N10" s="24"/>
      <c r="O10" s="24"/>
      <c r="P10" s="25">
        <f t="shared" si="1"/>
        <v>20</v>
      </c>
    </row>
    <row r="11" spans="1:16" ht="20.25" customHeight="1" x14ac:dyDescent="0.25">
      <c r="A11" s="23" t="s">
        <v>20</v>
      </c>
      <c r="B11" s="24"/>
      <c r="C11" s="24"/>
      <c r="D11" s="24"/>
      <c r="E11" s="24">
        <v>1.5</v>
      </c>
      <c r="F11" s="24"/>
      <c r="G11" s="24"/>
      <c r="H11" s="24"/>
      <c r="I11" s="24">
        <v>1</v>
      </c>
      <c r="J11" s="24"/>
      <c r="K11" s="24"/>
      <c r="L11" s="24"/>
      <c r="M11" s="24"/>
      <c r="N11" s="24"/>
      <c r="O11" s="24"/>
      <c r="P11" s="25">
        <f t="shared" si="1"/>
        <v>2.5</v>
      </c>
    </row>
    <row r="12" spans="1:16" ht="20.25" customHeight="1" x14ac:dyDescent="0.25">
      <c r="A12" s="23" t="s">
        <v>21</v>
      </c>
      <c r="B12" s="24"/>
      <c r="C12" s="24"/>
      <c r="D12" s="24"/>
      <c r="E12" s="24"/>
      <c r="F12" s="24"/>
      <c r="G12" s="24"/>
      <c r="H12" s="24"/>
      <c r="I12" s="24">
        <v>1.75</v>
      </c>
      <c r="J12" s="24">
        <v>2</v>
      </c>
      <c r="K12" s="24"/>
      <c r="L12" s="24"/>
      <c r="M12" s="24"/>
      <c r="N12" s="24"/>
      <c r="O12" s="24"/>
      <c r="P12" s="25">
        <f t="shared" si="1"/>
        <v>3.75</v>
      </c>
    </row>
    <row r="13" spans="1:16" ht="20.25" customHeight="1" x14ac:dyDescent="0.25">
      <c r="A13" s="23" t="s">
        <v>19</v>
      </c>
      <c r="B13" s="24"/>
      <c r="C13" s="24"/>
      <c r="D13" s="24"/>
      <c r="E13" s="24"/>
      <c r="F13" s="24">
        <v>0.5</v>
      </c>
      <c r="G13" s="24"/>
      <c r="H13" s="24"/>
      <c r="I13" s="24">
        <v>0.5</v>
      </c>
      <c r="J13" s="24"/>
      <c r="K13" s="24">
        <v>1.75</v>
      </c>
      <c r="L13" s="24"/>
      <c r="M13" s="24"/>
      <c r="N13" s="24"/>
      <c r="O13" s="24"/>
      <c r="P13" s="25">
        <f t="shared" si="1"/>
        <v>2.75</v>
      </c>
    </row>
    <row r="14" spans="1:16" ht="20.25" customHeight="1" x14ac:dyDescent="0.25">
      <c r="A14" s="23" t="s">
        <v>52</v>
      </c>
      <c r="B14" s="24"/>
      <c r="C14" s="24"/>
      <c r="D14" s="24"/>
      <c r="E14" s="24"/>
      <c r="F14" s="24">
        <v>1</v>
      </c>
      <c r="G14" s="24"/>
      <c r="H14" s="24"/>
      <c r="I14" s="24"/>
      <c r="J14" s="24">
        <v>3.75</v>
      </c>
      <c r="K14" s="24">
        <v>3.25</v>
      </c>
      <c r="L14" s="24"/>
      <c r="M14" s="24">
        <v>5.5</v>
      </c>
      <c r="N14" s="24"/>
      <c r="O14" s="24"/>
      <c r="P14" s="25">
        <f t="shared" si="1"/>
        <v>13.5</v>
      </c>
    </row>
    <row r="15" spans="1:16" ht="20.25" customHeight="1" x14ac:dyDescent="0.25">
      <c r="A15" s="23" t="s">
        <v>27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>
        <v>8</v>
      </c>
      <c r="M15" s="24"/>
      <c r="N15" s="24"/>
      <c r="O15" s="24"/>
      <c r="P15" s="25">
        <f t="shared" si="1"/>
        <v>8</v>
      </c>
    </row>
    <row r="16" spans="1:16" ht="20.25" customHeight="1" x14ac:dyDescent="0.25">
      <c r="A16" s="23" t="s">
        <v>18</v>
      </c>
      <c r="B16" s="24"/>
      <c r="C16" s="24"/>
      <c r="D16" s="24"/>
      <c r="E16" s="24">
        <v>1.75</v>
      </c>
      <c r="F16" s="24">
        <v>0.5</v>
      </c>
      <c r="G16" s="24"/>
      <c r="H16" s="24"/>
      <c r="I16" s="24">
        <v>0.75</v>
      </c>
      <c r="J16" s="24">
        <v>0.25</v>
      </c>
      <c r="K16" s="24">
        <v>0.25</v>
      </c>
      <c r="L16" s="24"/>
      <c r="M16" s="24">
        <v>0.5</v>
      </c>
      <c r="N16" s="24"/>
      <c r="O16" s="24"/>
      <c r="P16" s="25">
        <f t="shared" si="1"/>
        <v>4</v>
      </c>
    </row>
    <row r="17" spans="1:20" ht="20.25" customHeight="1" x14ac:dyDescent="0.2">
      <c r="A17" s="15" t="s">
        <v>38</v>
      </c>
      <c r="B17" s="14">
        <f t="shared" ref="B17:P17" si="2">SUM(B7:B16)</f>
        <v>0</v>
      </c>
      <c r="C17" s="14">
        <f t="shared" si="2"/>
        <v>0</v>
      </c>
      <c r="D17" s="14">
        <f t="shared" si="2"/>
        <v>8</v>
      </c>
      <c r="E17" s="14">
        <f t="shared" si="2"/>
        <v>14</v>
      </c>
      <c r="F17" s="14">
        <f t="shared" si="2"/>
        <v>9</v>
      </c>
      <c r="G17" s="14">
        <f t="shared" si="2"/>
        <v>9</v>
      </c>
      <c r="H17" s="14">
        <f t="shared" si="2"/>
        <v>0</v>
      </c>
      <c r="I17" s="14">
        <f t="shared" si="2"/>
        <v>8</v>
      </c>
      <c r="J17" s="14">
        <f t="shared" si="2"/>
        <v>8</v>
      </c>
      <c r="K17" s="14">
        <f t="shared" si="2"/>
        <v>8</v>
      </c>
      <c r="L17" s="14">
        <f t="shared" si="2"/>
        <v>8</v>
      </c>
      <c r="M17" s="14">
        <f t="shared" si="2"/>
        <v>8</v>
      </c>
      <c r="N17" s="14">
        <f t="shared" si="2"/>
        <v>0</v>
      </c>
      <c r="O17" s="14">
        <f t="shared" si="2"/>
        <v>0</v>
      </c>
      <c r="P17" s="14">
        <f t="shared" si="2"/>
        <v>80</v>
      </c>
    </row>
    <row r="18" spans="1:20" ht="20.25" customHeight="1" x14ac:dyDescent="0.25">
      <c r="A18"/>
      <c r="B18"/>
      <c r="C18"/>
      <c r="D18"/>
      <c r="E18"/>
      <c r="F18"/>
      <c r="G18" s="23" t="s">
        <v>59</v>
      </c>
      <c r="H18" s="14">
        <f>SUM(B17:H17)</f>
        <v>40</v>
      </c>
      <c r="I18"/>
      <c r="J18"/>
      <c r="K18"/>
      <c r="L18"/>
      <c r="M18"/>
      <c r="N18" s="23" t="s">
        <v>60</v>
      </c>
      <c r="O18" s="14">
        <f>SUM(I17:O17)</f>
        <v>40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dataConsolidate/>
  <conditionalFormatting sqref="G17:H17 N17:O17">
    <cfRule type="cellIs" dxfId="198" priority="1" operator="greaterThan">
      <formula>8</formula>
    </cfRule>
  </conditionalFormatting>
  <conditionalFormatting sqref="B17:F17 I17:M17">
    <cfRule type="cellIs" dxfId="197" priority="6" operator="greaterThan">
      <formula>8</formula>
    </cfRule>
    <cfRule type="cellIs" dxfId="196" priority="271" operator="equal">
      <formula>8</formula>
    </cfRule>
  </conditionalFormatting>
  <conditionalFormatting sqref="P7:P16">
    <cfRule type="cellIs" dxfId="195" priority="5" operator="greaterThan">
      <formula>80</formula>
    </cfRule>
  </conditionalFormatting>
  <conditionalFormatting sqref="P17">
    <cfRule type="cellIs" dxfId="194" priority="4" operator="greaterThan">
      <formula>80</formula>
    </cfRule>
    <cfRule type="cellIs" dxfId="193" priority="272" operator="equal">
      <formula>80</formula>
    </cfRule>
  </conditionalFormatting>
  <conditionalFormatting sqref="H18">
    <cfRule type="cellIs" dxfId="192" priority="3" operator="greaterThan">
      <formula>40</formula>
    </cfRule>
    <cfRule type="cellIs" dxfId="191" priority="273" operator="equal">
      <formula>40</formula>
    </cfRule>
  </conditionalFormatting>
  <conditionalFormatting sqref="O18">
    <cfRule type="cellIs" dxfId="190" priority="2" operator="greaterThan">
      <formula>40</formula>
    </cfRule>
    <cfRule type="cellIs" dxfId="189" priority="274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98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119809" r:id="rId4" name="btnAddActivity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T217"/>
  <sheetViews>
    <sheetView workbookViewId="0">
      <selection activeCell="A11" sqref="A11:XFD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INDEX(Refs!D:D,MATCH('FY13-13'!B1 &amp; 'FY13-13'!B2,Refs!K:K,0))</f>
        <v>41435</v>
      </c>
      <c r="C5" s="12">
        <f>B5+1</f>
        <v>41436</v>
      </c>
      <c r="D5" s="12">
        <f t="shared" ref="D5:O5" si="0">C5+1</f>
        <v>41437</v>
      </c>
      <c r="E5" s="12">
        <f t="shared" si="0"/>
        <v>41438</v>
      </c>
      <c r="F5" s="12">
        <f t="shared" si="0"/>
        <v>41439</v>
      </c>
      <c r="G5" s="12">
        <f t="shared" si="0"/>
        <v>41440</v>
      </c>
      <c r="H5" s="12">
        <f t="shared" si="0"/>
        <v>41441</v>
      </c>
      <c r="I5" s="12">
        <f t="shared" si="0"/>
        <v>41442</v>
      </c>
      <c r="J5" s="12">
        <f t="shared" si="0"/>
        <v>41443</v>
      </c>
      <c r="K5" s="12">
        <f t="shared" si="0"/>
        <v>41444</v>
      </c>
      <c r="L5" s="12">
        <f t="shared" si="0"/>
        <v>41445</v>
      </c>
      <c r="M5" s="12">
        <f t="shared" si="0"/>
        <v>41446</v>
      </c>
      <c r="N5" s="12">
        <f t="shared" si="0"/>
        <v>41447</v>
      </c>
      <c r="O5" s="12">
        <f t="shared" si="0"/>
        <v>41448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1</v>
      </c>
      <c r="C7" s="24"/>
      <c r="D7" s="24"/>
      <c r="E7" s="24"/>
      <c r="F7" s="24"/>
      <c r="G7" s="24"/>
      <c r="H7" s="24"/>
      <c r="I7" s="24"/>
      <c r="J7" s="24">
        <v>2.75</v>
      </c>
      <c r="K7" s="24">
        <v>0.25</v>
      </c>
      <c r="L7" s="24"/>
      <c r="M7" s="24"/>
      <c r="N7" s="24"/>
      <c r="O7" s="24"/>
      <c r="P7" s="25">
        <f t="shared" ref="P7:P16" si="1">SUM(B7:O7)</f>
        <v>4</v>
      </c>
    </row>
    <row r="8" spans="1:16" ht="20.25" customHeight="1" x14ac:dyDescent="0.25">
      <c r="A8" s="23" t="s">
        <v>28</v>
      </c>
      <c r="B8" s="24">
        <v>3.5</v>
      </c>
      <c r="C8" s="24"/>
      <c r="D8" s="24"/>
      <c r="E8" s="24">
        <v>1.5</v>
      </c>
      <c r="F8" s="24">
        <v>3</v>
      </c>
      <c r="G8" s="24"/>
      <c r="H8" s="24"/>
      <c r="I8" s="24">
        <v>2</v>
      </c>
      <c r="J8" s="24">
        <v>2</v>
      </c>
      <c r="K8" s="24">
        <v>2</v>
      </c>
      <c r="L8" s="24"/>
      <c r="M8" s="24"/>
      <c r="N8" s="24"/>
      <c r="O8" s="24"/>
      <c r="P8" s="25">
        <f t="shared" si="1"/>
        <v>14</v>
      </c>
    </row>
    <row r="9" spans="1:16" ht="20.25" customHeight="1" x14ac:dyDescent="0.25">
      <c r="A9" s="23" t="s">
        <v>24</v>
      </c>
      <c r="B9" s="24"/>
      <c r="C9" s="24">
        <v>8</v>
      </c>
      <c r="D9" s="24">
        <v>8</v>
      </c>
      <c r="E9" s="24"/>
      <c r="F9" s="24"/>
      <c r="G9" s="24"/>
      <c r="H9" s="24"/>
      <c r="I9" s="24"/>
      <c r="J9" s="24"/>
      <c r="K9" s="24"/>
      <c r="L9" s="24"/>
      <c r="M9" s="24"/>
      <c r="N9" s="24"/>
      <c r="O9" s="24"/>
      <c r="P9" s="25">
        <f t="shared" si="1"/>
        <v>16</v>
      </c>
    </row>
    <row r="10" spans="1:16" ht="20.25" customHeight="1" x14ac:dyDescent="0.25">
      <c r="A10" s="23" t="s">
        <v>26</v>
      </c>
      <c r="B10" s="24"/>
      <c r="C10" s="24"/>
      <c r="D10" s="24"/>
      <c r="E10" s="24"/>
      <c r="F10" s="24"/>
      <c r="G10" s="24"/>
      <c r="H10" s="24"/>
      <c r="I10" s="24">
        <v>1.75</v>
      </c>
      <c r="J10" s="24"/>
      <c r="K10" s="24"/>
      <c r="L10" s="24"/>
      <c r="M10" s="24"/>
      <c r="N10" s="24"/>
      <c r="O10" s="24"/>
      <c r="P10" s="25">
        <f t="shared" si="1"/>
        <v>1.75</v>
      </c>
    </row>
    <row r="11" spans="1:16" ht="20.25" customHeight="1" x14ac:dyDescent="0.25">
      <c r="A11" s="23" t="s">
        <v>20</v>
      </c>
      <c r="B11" s="24"/>
      <c r="C11" s="24"/>
      <c r="D11" s="24"/>
      <c r="E11" s="24">
        <v>1.5</v>
      </c>
      <c r="F11" s="24">
        <v>0.25</v>
      </c>
      <c r="G11" s="24"/>
      <c r="H11" s="24"/>
      <c r="I11" s="24">
        <v>2.75</v>
      </c>
      <c r="J11" s="24"/>
      <c r="K11" s="24"/>
      <c r="L11" s="24"/>
      <c r="M11" s="24"/>
      <c r="N11" s="24"/>
      <c r="O11" s="24"/>
      <c r="P11" s="25">
        <f t="shared" si="1"/>
        <v>4.5</v>
      </c>
    </row>
    <row r="12" spans="1:16" ht="20.25" customHeight="1" x14ac:dyDescent="0.25">
      <c r="A12" s="23" t="s">
        <v>21</v>
      </c>
      <c r="B12" s="24"/>
      <c r="C12" s="24"/>
      <c r="D12" s="24"/>
      <c r="E12" s="24">
        <v>3.25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5">
        <f t="shared" si="1"/>
        <v>3.25</v>
      </c>
    </row>
    <row r="13" spans="1:16" ht="20.25" customHeight="1" x14ac:dyDescent="0.25">
      <c r="A13" s="23" t="s">
        <v>19</v>
      </c>
      <c r="B13" s="24">
        <v>0.75</v>
      </c>
      <c r="C13" s="24"/>
      <c r="D13" s="24"/>
      <c r="E13" s="24"/>
      <c r="F13" s="24">
        <v>0.5</v>
      </c>
      <c r="G13" s="24"/>
      <c r="H13" s="24"/>
      <c r="I13" s="24"/>
      <c r="J13" s="24"/>
      <c r="K13" s="24">
        <v>0.25</v>
      </c>
      <c r="L13" s="24"/>
      <c r="M13" s="24"/>
      <c r="N13" s="24"/>
      <c r="O13" s="24"/>
      <c r="P13" s="25">
        <f t="shared" si="1"/>
        <v>1.5</v>
      </c>
    </row>
    <row r="14" spans="1:16" ht="20.25" customHeight="1" x14ac:dyDescent="0.25">
      <c r="A14" s="23" t="s">
        <v>52</v>
      </c>
      <c r="B14" s="24">
        <v>2.75</v>
      </c>
      <c r="C14" s="24"/>
      <c r="D14" s="24"/>
      <c r="E14" s="24">
        <v>1.75</v>
      </c>
      <c r="F14" s="24">
        <v>3.75</v>
      </c>
      <c r="G14" s="24"/>
      <c r="H14" s="24"/>
      <c r="I14" s="24">
        <v>1.5</v>
      </c>
      <c r="J14" s="24">
        <v>3</v>
      </c>
      <c r="K14" s="24">
        <v>4.5</v>
      </c>
      <c r="L14" s="24"/>
      <c r="M14" s="24"/>
      <c r="N14" s="24"/>
      <c r="O14" s="24"/>
      <c r="P14" s="25">
        <f t="shared" si="1"/>
        <v>17.25</v>
      </c>
    </row>
    <row r="15" spans="1:16" ht="20.25" customHeight="1" x14ac:dyDescent="0.25">
      <c r="A15" s="23" t="s">
        <v>27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>
        <v>8</v>
      </c>
      <c r="M15" s="24">
        <v>8</v>
      </c>
      <c r="N15" s="24"/>
      <c r="O15" s="24"/>
      <c r="P15" s="25">
        <f t="shared" si="1"/>
        <v>16</v>
      </c>
    </row>
    <row r="16" spans="1:16" ht="20.25" customHeight="1" x14ac:dyDescent="0.25">
      <c r="A16" s="23" t="s">
        <v>18</v>
      </c>
      <c r="B16" s="24"/>
      <c r="C16" s="24"/>
      <c r="D16" s="24"/>
      <c r="E16" s="24"/>
      <c r="F16" s="24">
        <v>0.5</v>
      </c>
      <c r="G16" s="24"/>
      <c r="H16" s="24"/>
      <c r="I16" s="24"/>
      <c r="J16" s="24">
        <v>0.25</v>
      </c>
      <c r="K16" s="24">
        <v>1</v>
      </c>
      <c r="L16" s="24"/>
      <c r="M16" s="24"/>
      <c r="N16" s="24"/>
      <c r="O16" s="24"/>
      <c r="P16" s="25">
        <f t="shared" si="1"/>
        <v>1.75</v>
      </c>
    </row>
    <row r="17" spans="1:20" ht="20.25" customHeight="1" x14ac:dyDescent="0.2">
      <c r="A17" s="15" t="s">
        <v>38</v>
      </c>
      <c r="B17" s="14">
        <f t="shared" ref="B17:P17" si="2">SUM(B7:B16)</f>
        <v>8</v>
      </c>
      <c r="C17" s="14">
        <f t="shared" si="2"/>
        <v>8</v>
      </c>
      <c r="D17" s="14">
        <f t="shared" si="2"/>
        <v>8</v>
      </c>
      <c r="E17" s="14">
        <f t="shared" si="2"/>
        <v>8</v>
      </c>
      <c r="F17" s="14">
        <f t="shared" si="2"/>
        <v>8</v>
      </c>
      <c r="G17" s="14">
        <f t="shared" si="2"/>
        <v>0</v>
      </c>
      <c r="H17" s="14">
        <f t="shared" si="2"/>
        <v>0</v>
      </c>
      <c r="I17" s="14">
        <f t="shared" si="2"/>
        <v>8</v>
      </c>
      <c r="J17" s="14">
        <f t="shared" si="2"/>
        <v>8</v>
      </c>
      <c r="K17" s="14">
        <f t="shared" si="2"/>
        <v>8</v>
      </c>
      <c r="L17" s="14">
        <f t="shared" si="2"/>
        <v>8</v>
      </c>
      <c r="M17" s="14">
        <f t="shared" si="2"/>
        <v>8</v>
      </c>
      <c r="N17" s="14">
        <f t="shared" si="2"/>
        <v>0</v>
      </c>
      <c r="O17" s="14">
        <f t="shared" si="2"/>
        <v>0</v>
      </c>
      <c r="P17" s="14">
        <f t="shared" si="2"/>
        <v>80</v>
      </c>
    </row>
    <row r="18" spans="1:20" ht="20.25" customHeight="1" x14ac:dyDescent="0.25">
      <c r="A18"/>
      <c r="B18"/>
      <c r="C18"/>
      <c r="D18"/>
      <c r="E18"/>
      <c r="F18"/>
      <c r="G18" s="23" t="s">
        <v>59</v>
      </c>
      <c r="H18" s="14">
        <f>SUM(B17:H17)</f>
        <v>40</v>
      </c>
      <c r="I18"/>
      <c r="J18"/>
      <c r="K18"/>
      <c r="L18"/>
      <c r="M18"/>
      <c r="N18" s="23" t="s">
        <v>60</v>
      </c>
      <c r="O18" s="14">
        <f>SUM(I17:O17)</f>
        <v>40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dataConsolidate/>
  <conditionalFormatting sqref="B17:F17 I17:M17">
    <cfRule type="cellIs" dxfId="188" priority="6" operator="greaterThan">
      <formula>8</formula>
    </cfRule>
    <cfRule type="cellIs" dxfId="187" priority="231" operator="equal">
      <formula>8</formula>
    </cfRule>
  </conditionalFormatting>
  <conditionalFormatting sqref="P7:P16">
    <cfRule type="cellIs" dxfId="186" priority="5" operator="greaterThan">
      <formula>80</formula>
    </cfRule>
  </conditionalFormatting>
  <conditionalFormatting sqref="P17">
    <cfRule type="cellIs" dxfId="185" priority="4" operator="greaterThan">
      <formula>80</formula>
    </cfRule>
    <cfRule type="cellIs" dxfId="184" priority="232" operator="equal">
      <formula>80</formula>
    </cfRule>
  </conditionalFormatting>
  <conditionalFormatting sqref="H18">
    <cfRule type="cellIs" dxfId="183" priority="3" operator="greaterThan">
      <formula>40</formula>
    </cfRule>
    <cfRule type="cellIs" dxfId="182" priority="233" operator="equal">
      <formula>40</formula>
    </cfRule>
  </conditionalFormatting>
  <conditionalFormatting sqref="O18">
    <cfRule type="cellIs" dxfId="181" priority="2" operator="greaterThan">
      <formula>40</formula>
    </cfRule>
    <cfRule type="cellIs" dxfId="180" priority="234" operator="equal">
      <formula>40</formula>
    </cfRule>
  </conditionalFormatting>
  <conditionalFormatting sqref="G17:H17 N17:O17">
    <cfRule type="cellIs" dxfId="17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625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6257" r:id="rId4" name="btnAddActivity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4"/>
  <dimension ref="A1:T217"/>
  <sheetViews>
    <sheetView workbookViewId="0">
      <selection activeCell="J11" sqref="J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June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INDEX(Refs!D:D,MATCH('FY13-12'!B1 &amp; 'FY13-12'!B2,Refs!K:K,0))</f>
        <v>41421</v>
      </c>
      <c r="C5" s="12">
        <f>B5+1</f>
        <v>41422</v>
      </c>
      <c r="D5" s="12">
        <f t="shared" ref="D5:O5" si="0">C5+1</f>
        <v>41423</v>
      </c>
      <c r="E5" s="12">
        <f t="shared" si="0"/>
        <v>41424</v>
      </c>
      <c r="F5" s="12">
        <f t="shared" si="0"/>
        <v>41425</v>
      </c>
      <c r="G5" s="12">
        <f t="shared" si="0"/>
        <v>41426</v>
      </c>
      <c r="H5" s="12">
        <f t="shared" si="0"/>
        <v>41427</v>
      </c>
      <c r="I5" s="12">
        <f t="shared" si="0"/>
        <v>41428</v>
      </c>
      <c r="J5" s="12">
        <f t="shared" si="0"/>
        <v>41429</v>
      </c>
      <c r="K5" s="12">
        <f t="shared" si="0"/>
        <v>41430</v>
      </c>
      <c r="L5" s="12">
        <f t="shared" si="0"/>
        <v>41431</v>
      </c>
      <c r="M5" s="12">
        <f t="shared" si="0"/>
        <v>41432</v>
      </c>
      <c r="N5" s="12">
        <f t="shared" si="0"/>
        <v>41433</v>
      </c>
      <c r="O5" s="12">
        <f t="shared" si="0"/>
        <v>41434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/>
      <c r="D7" s="24">
        <v>2</v>
      </c>
      <c r="E7" s="24">
        <v>2.5</v>
      </c>
      <c r="F7" s="24"/>
      <c r="G7" s="24"/>
      <c r="H7" s="24"/>
      <c r="I7" s="24">
        <v>1</v>
      </c>
      <c r="J7" s="24"/>
      <c r="K7" s="24"/>
      <c r="L7" s="24">
        <v>2.5</v>
      </c>
      <c r="M7" s="24">
        <v>1</v>
      </c>
      <c r="N7" s="24"/>
      <c r="O7" s="24"/>
      <c r="P7" s="25">
        <f t="shared" ref="P7:P16" si="1">SUM(B7:O7)</f>
        <v>9</v>
      </c>
    </row>
    <row r="8" spans="1:16" ht="20.25" customHeight="1" x14ac:dyDescent="0.25">
      <c r="A8" s="23" t="s">
        <v>28</v>
      </c>
      <c r="B8" s="24"/>
      <c r="C8" s="24"/>
      <c r="D8" s="24"/>
      <c r="E8" s="24">
        <v>4</v>
      </c>
      <c r="F8" s="24">
        <v>5</v>
      </c>
      <c r="G8" s="24"/>
      <c r="H8" s="24"/>
      <c r="I8" s="24"/>
      <c r="J8" s="24">
        <v>3.5</v>
      </c>
      <c r="K8" s="24">
        <v>5.5</v>
      </c>
      <c r="L8" s="24"/>
      <c r="M8" s="24">
        <v>3.5</v>
      </c>
      <c r="N8" s="24"/>
      <c r="O8" s="24"/>
      <c r="P8" s="25">
        <f t="shared" si="1"/>
        <v>21.5</v>
      </c>
    </row>
    <row r="9" spans="1:16" ht="20.25" customHeight="1" x14ac:dyDescent="0.25">
      <c r="A9" s="23" t="s">
        <v>26</v>
      </c>
      <c r="B9" s="24"/>
      <c r="C9" s="24"/>
      <c r="D9" s="24"/>
      <c r="E9" s="24"/>
      <c r="F9" s="24"/>
      <c r="G9" s="24"/>
      <c r="H9" s="24"/>
      <c r="I9" s="24"/>
      <c r="J9" s="24">
        <v>3</v>
      </c>
      <c r="K9" s="24"/>
      <c r="L9" s="24"/>
      <c r="M9" s="24">
        <v>2.5</v>
      </c>
      <c r="N9" s="24"/>
      <c r="O9" s="24"/>
      <c r="P9" s="25">
        <f t="shared" si="1"/>
        <v>5.5</v>
      </c>
    </row>
    <row r="10" spans="1:16" ht="20.25" customHeight="1" x14ac:dyDescent="0.25">
      <c r="A10" s="23" t="s">
        <v>20</v>
      </c>
      <c r="B10" s="24"/>
      <c r="C10" s="24">
        <v>1.5</v>
      </c>
      <c r="D10" s="24"/>
      <c r="E10" s="24">
        <v>1</v>
      </c>
      <c r="F10" s="24"/>
      <c r="G10" s="24"/>
      <c r="H10" s="24"/>
      <c r="I10" s="24">
        <v>3.5</v>
      </c>
      <c r="J10" s="24"/>
      <c r="K10" s="24">
        <v>1</v>
      </c>
      <c r="L10" s="24">
        <v>1.5</v>
      </c>
      <c r="M10" s="24"/>
      <c r="N10" s="24"/>
      <c r="O10" s="24"/>
      <c r="P10" s="25">
        <f t="shared" si="1"/>
        <v>8.5</v>
      </c>
    </row>
    <row r="11" spans="1:16" ht="20.25" customHeight="1" x14ac:dyDescent="0.25">
      <c r="A11" s="23" t="s">
        <v>19</v>
      </c>
      <c r="B11" s="24"/>
      <c r="C11" s="24">
        <v>1.5</v>
      </c>
      <c r="D11" s="24">
        <v>1</v>
      </c>
      <c r="E11" s="24"/>
      <c r="F11" s="24"/>
      <c r="G11" s="24"/>
      <c r="H11" s="24"/>
      <c r="I11" s="24">
        <v>1.5</v>
      </c>
      <c r="J11" s="24">
        <v>1</v>
      </c>
      <c r="K11" s="24"/>
      <c r="L11" s="24">
        <v>1</v>
      </c>
      <c r="M11" s="24"/>
      <c r="N11" s="24"/>
      <c r="O11" s="24"/>
      <c r="P11" s="25">
        <f t="shared" si="1"/>
        <v>6</v>
      </c>
    </row>
    <row r="12" spans="1:16" ht="20.25" customHeight="1" x14ac:dyDescent="0.25">
      <c r="A12" s="23" t="s">
        <v>52</v>
      </c>
      <c r="B12" s="24"/>
      <c r="C12" s="24">
        <v>5</v>
      </c>
      <c r="D12" s="24">
        <v>3</v>
      </c>
      <c r="E12" s="24"/>
      <c r="F12" s="24">
        <v>3</v>
      </c>
      <c r="G12" s="24"/>
      <c r="H12" s="24"/>
      <c r="I12" s="24"/>
      <c r="J12" s="24"/>
      <c r="K12" s="24">
        <v>1.5</v>
      </c>
      <c r="L12" s="24">
        <v>3</v>
      </c>
      <c r="M12" s="24"/>
      <c r="N12" s="24"/>
      <c r="O12" s="24"/>
      <c r="P12" s="25">
        <f t="shared" si="1"/>
        <v>15.5</v>
      </c>
    </row>
    <row r="13" spans="1:16" ht="20.25" customHeight="1" x14ac:dyDescent="0.25">
      <c r="A13" s="23" t="s">
        <v>42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>
        <v>1</v>
      </c>
      <c r="N13" s="24"/>
      <c r="O13" s="24"/>
      <c r="P13" s="25">
        <f t="shared" si="1"/>
        <v>1</v>
      </c>
    </row>
    <row r="14" spans="1:16" ht="20.25" customHeight="1" x14ac:dyDescent="0.25">
      <c r="A14" s="23" t="s">
        <v>29</v>
      </c>
      <c r="B14" s="24"/>
      <c r="C14" s="24"/>
      <c r="D14" s="24"/>
      <c r="E14" s="24"/>
      <c r="F14" s="24"/>
      <c r="G14" s="24"/>
      <c r="H14" s="24"/>
      <c r="I14" s="24">
        <v>1.25</v>
      </c>
      <c r="J14" s="24"/>
      <c r="K14" s="24"/>
      <c r="L14" s="24"/>
      <c r="M14" s="24"/>
      <c r="N14" s="24"/>
      <c r="O14" s="24"/>
      <c r="P14" s="25">
        <f t="shared" si="1"/>
        <v>1.25</v>
      </c>
    </row>
    <row r="15" spans="1:16" ht="20.25" customHeight="1" x14ac:dyDescent="0.25">
      <c r="A15" s="23" t="s">
        <v>27</v>
      </c>
      <c r="B15" s="24">
        <v>8</v>
      </c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5">
        <f t="shared" si="1"/>
        <v>8</v>
      </c>
    </row>
    <row r="16" spans="1:16" ht="20.25" customHeight="1" x14ac:dyDescent="0.25">
      <c r="A16" s="23" t="s">
        <v>18</v>
      </c>
      <c r="B16" s="24"/>
      <c r="C16" s="24"/>
      <c r="D16" s="24">
        <v>2</v>
      </c>
      <c r="E16" s="24">
        <v>0.5</v>
      </c>
      <c r="F16" s="24"/>
      <c r="G16" s="24"/>
      <c r="H16" s="24"/>
      <c r="I16" s="24">
        <v>0.75</v>
      </c>
      <c r="J16" s="24">
        <v>0.5</v>
      </c>
      <c r="K16" s="24"/>
      <c r="L16" s="24"/>
      <c r="M16" s="24"/>
      <c r="N16" s="24">
        <v>3</v>
      </c>
      <c r="O16" s="24"/>
      <c r="P16" s="25">
        <f t="shared" si="1"/>
        <v>6.75</v>
      </c>
    </row>
    <row r="17" spans="1:20" ht="20.25" customHeight="1" x14ac:dyDescent="0.2">
      <c r="A17" s="15" t="s">
        <v>38</v>
      </c>
      <c r="B17" s="14">
        <f t="shared" ref="B17:P17" si="2">SUM(B7:B16)</f>
        <v>8</v>
      </c>
      <c r="C17" s="14">
        <f t="shared" si="2"/>
        <v>8</v>
      </c>
      <c r="D17" s="14">
        <f t="shared" si="2"/>
        <v>8</v>
      </c>
      <c r="E17" s="14">
        <f t="shared" si="2"/>
        <v>8</v>
      </c>
      <c r="F17" s="14">
        <f t="shared" si="2"/>
        <v>8</v>
      </c>
      <c r="G17" s="14">
        <f t="shared" si="2"/>
        <v>0</v>
      </c>
      <c r="H17" s="14">
        <f t="shared" si="2"/>
        <v>0</v>
      </c>
      <c r="I17" s="14">
        <f t="shared" si="2"/>
        <v>8</v>
      </c>
      <c r="J17" s="14">
        <f t="shared" si="2"/>
        <v>8</v>
      </c>
      <c r="K17" s="14">
        <f t="shared" si="2"/>
        <v>8</v>
      </c>
      <c r="L17" s="14">
        <f t="shared" si="2"/>
        <v>8</v>
      </c>
      <c r="M17" s="14">
        <f t="shared" si="2"/>
        <v>8</v>
      </c>
      <c r="N17" s="14">
        <f t="shared" si="2"/>
        <v>3</v>
      </c>
      <c r="O17" s="14">
        <f t="shared" si="2"/>
        <v>0</v>
      </c>
      <c r="P17" s="14">
        <f t="shared" si="2"/>
        <v>83</v>
      </c>
    </row>
    <row r="18" spans="1:20" ht="20.25" customHeight="1" x14ac:dyDescent="0.25">
      <c r="A18"/>
      <c r="B18"/>
      <c r="C18"/>
      <c r="D18"/>
      <c r="E18"/>
      <c r="F18"/>
      <c r="G18" s="23" t="s">
        <v>59</v>
      </c>
      <c r="H18" s="14">
        <f>SUM(B17:H17)</f>
        <v>40</v>
      </c>
      <c r="I18"/>
      <c r="J18"/>
      <c r="K18"/>
      <c r="L18"/>
      <c r="M18"/>
      <c r="N18" s="23" t="s">
        <v>60</v>
      </c>
      <c r="O18" s="14">
        <f>SUM(I17:O17)</f>
        <v>43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dataConsolidate/>
  <conditionalFormatting sqref="G17:H17 N17:O17">
    <cfRule type="cellIs" dxfId="178" priority="1" operator="greaterThan">
      <formula>8</formula>
    </cfRule>
  </conditionalFormatting>
  <conditionalFormatting sqref="B17:F17 I17:M17">
    <cfRule type="cellIs" dxfId="177" priority="6" operator="greaterThan">
      <formula>8</formula>
    </cfRule>
    <cfRule type="cellIs" dxfId="176" priority="279" operator="equal">
      <formula>8</formula>
    </cfRule>
  </conditionalFormatting>
  <conditionalFormatting sqref="P7:P16">
    <cfRule type="cellIs" dxfId="175" priority="5" operator="greaterThan">
      <formula>80</formula>
    </cfRule>
  </conditionalFormatting>
  <conditionalFormatting sqref="P17">
    <cfRule type="cellIs" dxfId="174" priority="4" operator="greaterThan">
      <formula>80</formula>
    </cfRule>
    <cfRule type="cellIs" dxfId="173" priority="280" operator="equal">
      <formula>80</formula>
    </cfRule>
  </conditionalFormatting>
  <conditionalFormatting sqref="H18">
    <cfRule type="cellIs" dxfId="172" priority="3" operator="greaterThan">
      <formula>40</formula>
    </cfRule>
    <cfRule type="cellIs" dxfId="171" priority="281" operator="equal">
      <formula>40</formula>
    </cfRule>
  </conditionalFormatting>
  <conditionalFormatting sqref="O18">
    <cfRule type="cellIs" dxfId="170" priority="2" operator="greaterThan">
      <formula>40</formula>
    </cfRule>
    <cfRule type="cellIs" dxfId="169" priority="28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52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5233" r:id="rId4" name="btnAddActivity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T220"/>
  <sheetViews>
    <sheetView workbookViewId="0">
      <selection activeCell="A29" sqref="A2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INDEX(Refs!D:D,MATCH('FY13-11'!B1 &amp; 'FY13-11'!B2,Refs!K:K,0))</f>
        <v>41407</v>
      </c>
      <c r="C5" s="12">
        <f>B5+1</f>
        <v>41408</v>
      </c>
      <c r="D5" s="12">
        <f t="shared" ref="D5:O5" si="0">C5+1</f>
        <v>41409</v>
      </c>
      <c r="E5" s="12">
        <f t="shared" si="0"/>
        <v>41410</v>
      </c>
      <c r="F5" s="12">
        <f t="shared" si="0"/>
        <v>41411</v>
      </c>
      <c r="G5" s="12">
        <f t="shared" si="0"/>
        <v>41412</v>
      </c>
      <c r="H5" s="12">
        <f t="shared" si="0"/>
        <v>41413</v>
      </c>
      <c r="I5" s="12">
        <f t="shared" si="0"/>
        <v>41414</v>
      </c>
      <c r="J5" s="12">
        <f t="shared" si="0"/>
        <v>41415</v>
      </c>
      <c r="K5" s="12">
        <f t="shared" si="0"/>
        <v>41416</v>
      </c>
      <c r="L5" s="12">
        <f t="shared" si="0"/>
        <v>41417</v>
      </c>
      <c r="M5" s="12">
        <f t="shared" si="0"/>
        <v>41418</v>
      </c>
      <c r="N5" s="12">
        <f t="shared" si="0"/>
        <v>41419</v>
      </c>
      <c r="O5" s="12">
        <f t="shared" si="0"/>
        <v>41420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/>
      <c r="D7" s="24"/>
      <c r="E7" s="24"/>
      <c r="F7" s="24"/>
      <c r="G7" s="24"/>
      <c r="H7" s="24"/>
      <c r="I7" s="24"/>
      <c r="J7" s="24"/>
      <c r="K7" s="24"/>
      <c r="L7" s="24">
        <v>1.25</v>
      </c>
      <c r="M7" s="24"/>
      <c r="N7" s="24"/>
      <c r="O7" s="24"/>
      <c r="P7" s="25">
        <f t="shared" ref="P7:P19" si="1">SUM(B7:O7)</f>
        <v>1.25</v>
      </c>
    </row>
    <row r="8" spans="1:16" ht="20.25" customHeight="1" x14ac:dyDescent="0.25">
      <c r="A8" s="23" t="s">
        <v>28</v>
      </c>
      <c r="B8" s="24">
        <v>3</v>
      </c>
      <c r="C8" s="24">
        <v>3</v>
      </c>
      <c r="D8" s="24"/>
      <c r="E8" s="24"/>
      <c r="F8" s="24">
        <v>2.25</v>
      </c>
      <c r="G8" s="24"/>
      <c r="H8" s="24"/>
      <c r="I8" s="24">
        <v>6</v>
      </c>
      <c r="J8" s="24"/>
      <c r="K8" s="24"/>
      <c r="L8" s="24">
        <v>1</v>
      </c>
      <c r="M8" s="24"/>
      <c r="N8" s="24"/>
      <c r="O8" s="24"/>
      <c r="P8" s="25">
        <f t="shared" si="1"/>
        <v>15.25</v>
      </c>
    </row>
    <row r="9" spans="1:16" ht="20.25" customHeight="1" x14ac:dyDescent="0.25">
      <c r="A9" s="23" t="s">
        <v>51</v>
      </c>
      <c r="B9" s="24"/>
      <c r="C9" s="24"/>
      <c r="D9" s="24"/>
      <c r="E9" s="24"/>
      <c r="F9" s="24"/>
      <c r="G9" s="24"/>
      <c r="H9" s="24"/>
      <c r="I9" s="24"/>
      <c r="J9" s="24">
        <v>3.5</v>
      </c>
      <c r="K9" s="24"/>
      <c r="L9" s="24"/>
      <c r="M9" s="24"/>
      <c r="N9" s="24"/>
      <c r="O9" s="24"/>
      <c r="P9" s="25">
        <f t="shared" si="1"/>
        <v>3.5</v>
      </c>
    </row>
    <row r="10" spans="1:16" ht="20.25" customHeight="1" x14ac:dyDescent="0.25">
      <c r="A10" s="23" t="s">
        <v>26</v>
      </c>
      <c r="B10" s="24">
        <v>0.5</v>
      </c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0.5</v>
      </c>
    </row>
    <row r="11" spans="1:16" ht="20.25" customHeight="1" x14ac:dyDescent="0.25">
      <c r="A11" s="23" t="s">
        <v>20</v>
      </c>
      <c r="B11" s="24">
        <v>1</v>
      </c>
      <c r="C11" s="24">
        <v>1</v>
      </c>
      <c r="D11" s="24"/>
      <c r="E11" s="24"/>
      <c r="F11" s="24"/>
      <c r="G11" s="24"/>
      <c r="H11" s="24"/>
      <c r="I11" s="24"/>
      <c r="J11" s="24">
        <v>0.5</v>
      </c>
      <c r="K11" s="24"/>
      <c r="L11" s="24">
        <v>1.5</v>
      </c>
      <c r="M11" s="24"/>
      <c r="N11" s="24"/>
      <c r="O11" s="24"/>
      <c r="P11" s="25">
        <f t="shared" si="1"/>
        <v>4</v>
      </c>
    </row>
    <row r="12" spans="1:16" ht="20.25" customHeight="1" x14ac:dyDescent="0.25">
      <c r="A12" s="23" t="s">
        <v>21</v>
      </c>
      <c r="B12" s="24"/>
      <c r="C12" s="24"/>
      <c r="D12" s="24"/>
      <c r="E12" s="24"/>
      <c r="F12" s="24">
        <v>3.5</v>
      </c>
      <c r="G12" s="24"/>
      <c r="H12" s="24"/>
      <c r="I12" s="24"/>
      <c r="J12" s="24"/>
      <c r="K12" s="24">
        <v>2</v>
      </c>
      <c r="L12" s="24"/>
      <c r="M12" s="24"/>
      <c r="N12" s="24"/>
      <c r="O12" s="24"/>
      <c r="P12" s="25">
        <f t="shared" si="1"/>
        <v>5.5</v>
      </c>
    </row>
    <row r="13" spans="1:16" ht="20.25" customHeight="1" x14ac:dyDescent="0.25">
      <c r="A13" s="23" t="s">
        <v>19</v>
      </c>
      <c r="B13" s="24">
        <v>1</v>
      </c>
      <c r="C13" s="24"/>
      <c r="D13" s="24"/>
      <c r="E13" s="24"/>
      <c r="F13" s="24"/>
      <c r="G13" s="24"/>
      <c r="H13" s="24"/>
      <c r="I13" s="24"/>
      <c r="J13" s="24"/>
      <c r="K13" s="24">
        <v>1</v>
      </c>
      <c r="L13" s="24">
        <v>1</v>
      </c>
      <c r="M13" s="24"/>
      <c r="N13" s="24"/>
      <c r="O13" s="24"/>
      <c r="P13" s="25">
        <f t="shared" si="1"/>
        <v>3</v>
      </c>
    </row>
    <row r="14" spans="1:16" ht="20.25" customHeight="1" x14ac:dyDescent="0.25">
      <c r="A14" s="23" t="s">
        <v>52</v>
      </c>
      <c r="B14" s="24">
        <v>1.5</v>
      </c>
      <c r="C14" s="24">
        <v>2</v>
      </c>
      <c r="D14" s="24"/>
      <c r="E14" s="24"/>
      <c r="F14" s="24">
        <v>1.5</v>
      </c>
      <c r="G14" s="24"/>
      <c r="H14" s="24"/>
      <c r="I14" s="24"/>
      <c r="J14" s="24">
        <v>3</v>
      </c>
      <c r="K14" s="24">
        <v>5</v>
      </c>
      <c r="L14" s="24">
        <v>2.5</v>
      </c>
      <c r="M14" s="24"/>
      <c r="N14" s="24"/>
      <c r="O14" s="24"/>
      <c r="P14" s="25">
        <f t="shared" si="1"/>
        <v>15.5</v>
      </c>
    </row>
    <row r="15" spans="1:16" ht="20.25" customHeight="1" x14ac:dyDescent="0.25">
      <c r="A15" s="23" t="s">
        <v>29</v>
      </c>
      <c r="B15" s="24"/>
      <c r="C15" s="24"/>
      <c r="D15" s="24"/>
      <c r="E15" s="24"/>
      <c r="F15" s="24"/>
      <c r="G15" s="24"/>
      <c r="H15" s="24"/>
      <c r="I15" s="24">
        <v>2</v>
      </c>
      <c r="J15" s="24">
        <v>1</v>
      </c>
      <c r="K15" s="24"/>
      <c r="L15" s="24"/>
      <c r="M15" s="24"/>
      <c r="N15" s="24"/>
      <c r="O15" s="24"/>
      <c r="P15" s="25">
        <f t="shared" si="1"/>
        <v>3</v>
      </c>
    </row>
    <row r="16" spans="1:16" ht="20.25" customHeight="1" x14ac:dyDescent="0.25">
      <c r="A16" s="23" t="s">
        <v>27</v>
      </c>
      <c r="B16" s="24"/>
      <c r="C16" s="24"/>
      <c r="D16" s="24">
        <v>8</v>
      </c>
      <c r="E16" s="24">
        <v>8</v>
      </c>
      <c r="F16" s="24"/>
      <c r="G16" s="24"/>
      <c r="H16" s="24"/>
      <c r="I16" s="24"/>
      <c r="J16" s="24"/>
      <c r="K16" s="24"/>
      <c r="L16" s="24"/>
      <c r="M16" s="24">
        <v>8</v>
      </c>
      <c r="N16" s="24"/>
      <c r="O16" s="24"/>
      <c r="P16" s="25">
        <f t="shared" si="1"/>
        <v>24</v>
      </c>
    </row>
    <row r="17" spans="1:20" ht="20.25" customHeight="1" x14ac:dyDescent="0.25">
      <c r="A17" s="23" t="s">
        <v>23</v>
      </c>
      <c r="B17" s="24"/>
      <c r="C17" s="24">
        <v>2</v>
      </c>
      <c r="D17" s="24"/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5">
        <f t="shared" si="1"/>
        <v>2</v>
      </c>
    </row>
    <row r="18" spans="1:20" ht="20.25" customHeight="1" x14ac:dyDescent="0.25">
      <c r="A18" s="23" t="s">
        <v>54</v>
      </c>
      <c r="B18" s="24"/>
      <c r="C18" s="24"/>
      <c r="D18" s="24"/>
      <c r="E18" s="24"/>
      <c r="F18" s="24">
        <v>0.75</v>
      </c>
      <c r="G18" s="24"/>
      <c r="H18" s="24"/>
      <c r="I18" s="24"/>
      <c r="J18" s="24"/>
      <c r="K18" s="24"/>
      <c r="L18" s="24"/>
      <c r="M18" s="24"/>
      <c r="N18" s="24"/>
      <c r="O18" s="24"/>
      <c r="P18" s="25">
        <f t="shared" si="1"/>
        <v>0.75</v>
      </c>
    </row>
    <row r="19" spans="1:20" ht="20.25" customHeight="1" x14ac:dyDescent="0.25">
      <c r="A19" s="23" t="s">
        <v>18</v>
      </c>
      <c r="B19" s="24">
        <v>1</v>
      </c>
      <c r="C19" s="24"/>
      <c r="D19" s="24"/>
      <c r="E19" s="24"/>
      <c r="F19" s="24"/>
      <c r="G19" s="24"/>
      <c r="H19" s="24"/>
      <c r="I19" s="24"/>
      <c r="J19" s="24"/>
      <c r="K19" s="24"/>
      <c r="L19" s="24">
        <v>0.75</v>
      </c>
      <c r="M19" s="24"/>
      <c r="N19" s="24"/>
      <c r="O19" s="24"/>
      <c r="P19" s="25">
        <f t="shared" si="1"/>
        <v>1.75</v>
      </c>
    </row>
    <row r="20" spans="1:20" ht="20.25" customHeight="1" x14ac:dyDescent="0.2">
      <c r="A20" s="15" t="s">
        <v>38</v>
      </c>
      <c r="B20" s="14">
        <f t="shared" ref="B20:P20" si="2">SUM(B7:B19)</f>
        <v>8</v>
      </c>
      <c r="C20" s="14">
        <f t="shared" si="2"/>
        <v>8</v>
      </c>
      <c r="D20" s="14">
        <f t="shared" si="2"/>
        <v>8</v>
      </c>
      <c r="E20" s="14">
        <f t="shared" si="2"/>
        <v>8</v>
      </c>
      <c r="F20" s="14">
        <f t="shared" si="2"/>
        <v>8</v>
      </c>
      <c r="G20" s="14">
        <f t="shared" si="2"/>
        <v>0</v>
      </c>
      <c r="H20" s="14">
        <f t="shared" si="2"/>
        <v>0</v>
      </c>
      <c r="I20" s="14">
        <f t="shared" si="2"/>
        <v>8</v>
      </c>
      <c r="J20" s="14">
        <f t="shared" si="2"/>
        <v>8</v>
      </c>
      <c r="K20" s="14">
        <f t="shared" si="2"/>
        <v>8</v>
      </c>
      <c r="L20" s="14">
        <f t="shared" si="2"/>
        <v>8</v>
      </c>
      <c r="M20" s="14">
        <f t="shared" si="2"/>
        <v>8</v>
      </c>
      <c r="N20" s="14">
        <f t="shared" si="2"/>
        <v>0</v>
      </c>
      <c r="O20" s="14">
        <f t="shared" si="2"/>
        <v>0</v>
      </c>
      <c r="P20" s="14">
        <f t="shared" si="2"/>
        <v>80</v>
      </c>
    </row>
    <row r="21" spans="1:20" ht="20.25" customHeight="1" x14ac:dyDescent="0.25">
      <c r="A21"/>
      <c r="B21"/>
      <c r="C21"/>
      <c r="D21"/>
      <c r="E21"/>
      <c r="F21"/>
      <c r="G21" s="23" t="s">
        <v>59</v>
      </c>
      <c r="H21" s="14">
        <f>SUM(B20:H20)</f>
        <v>40</v>
      </c>
      <c r="I21"/>
      <c r="J21"/>
      <c r="K21"/>
      <c r="L21"/>
      <c r="M21"/>
      <c r="N21" s="23" t="s">
        <v>60</v>
      </c>
      <c r="O21" s="14">
        <f>SUM(I20:O20)</f>
        <v>40</v>
      </c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</sheetData>
  <sortState ref="A7:P19">
    <sortCondition ref="A7:A19"/>
  </sortState>
  <dataConsolidate/>
  <conditionalFormatting sqref="G20:H20 N20:O20">
    <cfRule type="cellIs" dxfId="168" priority="1" operator="greaterThan">
      <formula>8</formula>
    </cfRule>
  </conditionalFormatting>
  <conditionalFormatting sqref="B20:F20 I20:M20">
    <cfRule type="cellIs" dxfId="167" priority="6" operator="greaterThan">
      <formula>8</formula>
    </cfRule>
    <cfRule type="cellIs" dxfId="166" priority="223" operator="equal">
      <formula>8</formula>
    </cfRule>
  </conditionalFormatting>
  <conditionalFormatting sqref="P7:P19">
    <cfRule type="cellIs" dxfId="165" priority="5" operator="greaterThan">
      <formula>80</formula>
    </cfRule>
  </conditionalFormatting>
  <conditionalFormatting sqref="P20">
    <cfRule type="cellIs" dxfId="164" priority="4" operator="greaterThan">
      <formula>80</formula>
    </cfRule>
    <cfRule type="cellIs" dxfId="163" priority="224" operator="equal">
      <formula>80</formula>
    </cfRule>
  </conditionalFormatting>
  <conditionalFormatting sqref="H21">
    <cfRule type="cellIs" dxfId="162" priority="3" operator="greaterThan">
      <formula>40</formula>
    </cfRule>
    <cfRule type="cellIs" dxfId="161" priority="225" operator="equal">
      <formula>40</formula>
    </cfRule>
  </conditionalFormatting>
  <conditionalFormatting sqref="O21">
    <cfRule type="cellIs" dxfId="160" priority="2" operator="greaterThan">
      <formula>40</formula>
    </cfRule>
    <cfRule type="cellIs" dxfId="159" priority="226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9420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94209" r:id="rId4" name="btnAddActivity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T215"/>
  <sheetViews>
    <sheetView workbookViewId="0">
      <selection activeCell="L8" sqref="L8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10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INDEX(Refs!D:D,MATCH('FY13-10'!B1 &amp; 'FY13-10'!B2,Refs!K:K,0))</f>
        <v>41393</v>
      </c>
      <c r="C5" s="12">
        <f>B5+1</f>
        <v>41394</v>
      </c>
      <c r="D5" s="12">
        <f t="shared" ref="D5:O5" si="0">C5+1</f>
        <v>41395</v>
      </c>
      <c r="E5" s="12">
        <f t="shared" si="0"/>
        <v>41396</v>
      </c>
      <c r="F5" s="12">
        <f t="shared" si="0"/>
        <v>41397</v>
      </c>
      <c r="G5" s="12">
        <f t="shared" si="0"/>
        <v>41398</v>
      </c>
      <c r="H5" s="12">
        <f t="shared" si="0"/>
        <v>41399</v>
      </c>
      <c r="I5" s="12">
        <f t="shared" si="0"/>
        <v>41400</v>
      </c>
      <c r="J5" s="12">
        <f t="shared" si="0"/>
        <v>41401</v>
      </c>
      <c r="K5" s="12">
        <f t="shared" si="0"/>
        <v>41402</v>
      </c>
      <c r="L5" s="12">
        <f t="shared" si="0"/>
        <v>41403</v>
      </c>
      <c r="M5" s="12">
        <f t="shared" si="0"/>
        <v>41404</v>
      </c>
      <c r="N5" s="12">
        <f t="shared" si="0"/>
        <v>41405</v>
      </c>
      <c r="O5" s="12">
        <f t="shared" si="0"/>
        <v>41406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3" t="s">
        <v>17</v>
      </c>
      <c r="B7" s="24">
        <v>1</v>
      </c>
      <c r="C7" s="24"/>
      <c r="D7" s="24">
        <v>2.5</v>
      </c>
      <c r="E7" s="24"/>
      <c r="F7" s="24"/>
      <c r="G7" s="24"/>
      <c r="H7" s="24"/>
      <c r="I7" s="24"/>
      <c r="J7" s="24"/>
      <c r="K7" s="24">
        <v>0.5</v>
      </c>
      <c r="L7" s="24">
        <v>1.5</v>
      </c>
      <c r="M7" s="24"/>
      <c r="N7" s="24"/>
      <c r="O7" s="24"/>
      <c r="P7" s="25">
        <f t="shared" ref="P7:P14" si="1">SUM(B7:O7)</f>
        <v>5.5</v>
      </c>
    </row>
    <row r="8" spans="1:20" ht="20.25" customHeight="1" x14ac:dyDescent="0.25">
      <c r="A8" s="23" t="s">
        <v>28</v>
      </c>
      <c r="B8" s="24">
        <v>0.75</v>
      </c>
      <c r="C8" s="24">
        <v>2.25</v>
      </c>
      <c r="D8" s="24">
        <v>5</v>
      </c>
      <c r="E8" s="24"/>
      <c r="F8" s="24"/>
      <c r="G8" s="24"/>
      <c r="H8" s="24"/>
      <c r="I8" s="24">
        <v>3</v>
      </c>
      <c r="J8" s="24">
        <v>1.75</v>
      </c>
      <c r="K8" s="24"/>
      <c r="L8" s="24">
        <v>3.5</v>
      </c>
      <c r="M8" s="24">
        <v>2.5</v>
      </c>
      <c r="N8" s="24"/>
      <c r="O8" s="24"/>
      <c r="P8" s="25">
        <f t="shared" si="1"/>
        <v>18.75</v>
      </c>
    </row>
    <row r="9" spans="1:20" ht="20.25" customHeight="1" x14ac:dyDescent="0.25">
      <c r="A9" s="23" t="s">
        <v>25</v>
      </c>
      <c r="B9" s="24"/>
      <c r="C9" s="24"/>
      <c r="D9" s="24"/>
      <c r="E9" s="24"/>
      <c r="F9" s="24"/>
      <c r="G9" s="24"/>
      <c r="H9" s="24"/>
      <c r="I9" s="24">
        <v>0.5</v>
      </c>
      <c r="J9" s="24"/>
      <c r="K9" s="24">
        <v>1.75</v>
      </c>
      <c r="L9" s="24"/>
      <c r="M9" s="24"/>
      <c r="N9" s="24"/>
      <c r="O9" s="24"/>
      <c r="P9" s="25">
        <f t="shared" si="1"/>
        <v>2.25</v>
      </c>
    </row>
    <row r="10" spans="1:20" ht="20.25" customHeight="1" x14ac:dyDescent="0.25">
      <c r="A10" s="23" t="s">
        <v>20</v>
      </c>
      <c r="B10" s="24">
        <v>0.75</v>
      </c>
      <c r="C10" s="24">
        <v>2</v>
      </c>
      <c r="D10" s="24"/>
      <c r="E10" s="24"/>
      <c r="F10" s="24"/>
      <c r="G10" s="24"/>
      <c r="H10" s="24"/>
      <c r="I10" s="24">
        <v>1</v>
      </c>
      <c r="J10" s="24">
        <v>1.5</v>
      </c>
      <c r="K10" s="24">
        <v>1</v>
      </c>
      <c r="L10" s="24">
        <v>0.25</v>
      </c>
      <c r="M10" s="24"/>
      <c r="N10" s="24"/>
      <c r="O10" s="24"/>
      <c r="P10" s="25">
        <f t="shared" si="1"/>
        <v>6.5</v>
      </c>
    </row>
    <row r="11" spans="1:20" ht="20.25" customHeight="1" x14ac:dyDescent="0.25">
      <c r="A11" s="23" t="s">
        <v>19</v>
      </c>
      <c r="B11" s="24">
        <v>1.5</v>
      </c>
      <c r="C11" s="24"/>
      <c r="D11" s="24"/>
      <c r="E11" s="24"/>
      <c r="F11" s="24"/>
      <c r="G11" s="24"/>
      <c r="H11" s="24"/>
      <c r="I11" s="24">
        <v>0.5</v>
      </c>
      <c r="J11" s="24">
        <v>0.25</v>
      </c>
      <c r="K11" s="24">
        <v>1.75</v>
      </c>
      <c r="L11" s="24"/>
      <c r="M11" s="24"/>
      <c r="N11" s="24"/>
      <c r="O11" s="24"/>
      <c r="P11" s="25">
        <f t="shared" si="1"/>
        <v>4</v>
      </c>
    </row>
    <row r="12" spans="1:20" ht="20.25" customHeight="1" x14ac:dyDescent="0.25">
      <c r="A12" s="23" t="s">
        <v>52</v>
      </c>
      <c r="B12" s="24">
        <v>4</v>
      </c>
      <c r="C12" s="24">
        <v>3.75</v>
      </c>
      <c r="D12" s="24">
        <v>0.5</v>
      </c>
      <c r="E12" s="24"/>
      <c r="F12" s="24"/>
      <c r="G12" s="24"/>
      <c r="H12" s="24"/>
      <c r="I12" s="24">
        <v>3</v>
      </c>
      <c r="J12" s="24">
        <v>4.5</v>
      </c>
      <c r="K12" s="24">
        <v>3</v>
      </c>
      <c r="L12" s="24">
        <v>2.75</v>
      </c>
      <c r="M12" s="24">
        <v>1.5</v>
      </c>
      <c r="N12" s="24"/>
      <c r="O12" s="24"/>
      <c r="P12" s="25">
        <f t="shared" si="1"/>
        <v>23</v>
      </c>
    </row>
    <row r="13" spans="1:20" ht="20.25" customHeight="1" x14ac:dyDescent="0.25">
      <c r="A13" s="23" t="s">
        <v>27</v>
      </c>
      <c r="B13" s="24"/>
      <c r="C13" s="24"/>
      <c r="D13" s="24"/>
      <c r="E13" s="24">
        <v>8</v>
      </c>
      <c r="F13" s="24">
        <v>8</v>
      </c>
      <c r="G13" s="24"/>
      <c r="H13" s="24"/>
      <c r="I13" s="24"/>
      <c r="J13" s="24"/>
      <c r="K13" s="24"/>
      <c r="L13" s="24"/>
      <c r="M13" s="24"/>
      <c r="N13" s="24"/>
      <c r="O13" s="24"/>
      <c r="P13" s="25">
        <f t="shared" si="1"/>
        <v>16</v>
      </c>
    </row>
    <row r="14" spans="1:20" ht="20.25" customHeight="1" x14ac:dyDescent="0.25">
      <c r="A14" s="23" t="s">
        <v>23</v>
      </c>
      <c r="B14" s="24"/>
      <c r="C14" s="24"/>
      <c r="D14" s="24"/>
      <c r="E14" s="24"/>
      <c r="F14" s="24"/>
      <c r="G14" s="24"/>
      <c r="H14" s="24"/>
      <c r="I14" s="24"/>
      <c r="J14" s="24">
        <v>4</v>
      </c>
      <c r="K14" s="24"/>
      <c r="L14" s="24"/>
      <c r="M14" s="24"/>
      <c r="N14" s="24"/>
      <c r="O14" s="24"/>
      <c r="P14" s="25">
        <f t="shared" si="1"/>
        <v>4</v>
      </c>
    </row>
    <row r="15" spans="1:20" ht="20.25" customHeight="1" x14ac:dyDescent="0.2">
      <c r="A15" s="15" t="s">
        <v>38</v>
      </c>
      <c r="B15" s="14">
        <f t="shared" ref="B15:P15" si="2">SUM(B7:B14)</f>
        <v>8</v>
      </c>
      <c r="C15" s="14">
        <f t="shared" si="2"/>
        <v>8</v>
      </c>
      <c r="D15" s="14">
        <f t="shared" si="2"/>
        <v>8</v>
      </c>
      <c r="E15" s="14">
        <f t="shared" si="2"/>
        <v>8</v>
      </c>
      <c r="F15" s="14">
        <f t="shared" si="2"/>
        <v>8</v>
      </c>
      <c r="G15" s="14">
        <f t="shared" si="2"/>
        <v>0</v>
      </c>
      <c r="H15" s="14">
        <f t="shared" si="2"/>
        <v>0</v>
      </c>
      <c r="I15" s="14">
        <f t="shared" si="2"/>
        <v>8</v>
      </c>
      <c r="J15" s="14">
        <f t="shared" si="2"/>
        <v>12</v>
      </c>
      <c r="K15" s="14">
        <f t="shared" si="2"/>
        <v>8</v>
      </c>
      <c r="L15" s="14">
        <f t="shared" si="2"/>
        <v>8</v>
      </c>
      <c r="M15" s="14">
        <f t="shared" si="2"/>
        <v>4</v>
      </c>
      <c r="N15" s="14">
        <f t="shared" si="2"/>
        <v>0</v>
      </c>
      <c r="O15" s="14">
        <f t="shared" si="2"/>
        <v>0</v>
      </c>
      <c r="P15" s="14">
        <f t="shared" si="2"/>
        <v>80</v>
      </c>
    </row>
    <row r="16" spans="1:20" ht="20.25" customHeight="1" x14ac:dyDescent="0.25">
      <c r="A16"/>
      <c r="B16"/>
      <c r="C16"/>
      <c r="D16"/>
      <c r="E16"/>
      <c r="F16"/>
      <c r="G16" s="23" t="s">
        <v>59</v>
      </c>
      <c r="H16" s="14">
        <f>SUM(B15:H15)</f>
        <v>40</v>
      </c>
      <c r="I16"/>
      <c r="J16"/>
      <c r="K16"/>
      <c r="L16"/>
      <c r="M16"/>
      <c r="N16" s="23" t="s">
        <v>60</v>
      </c>
      <c r="O16" s="14">
        <f>SUM(I15:O15)</f>
        <v>40</v>
      </c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</sheetData>
  <sortState ref="A7:P14">
    <sortCondition ref="A7:A14"/>
  </sortState>
  <dataConsolidate/>
  <conditionalFormatting sqref="G15:H15 N15:O15">
    <cfRule type="cellIs" dxfId="158" priority="1" operator="greaterThan">
      <formula>8</formula>
    </cfRule>
  </conditionalFormatting>
  <conditionalFormatting sqref="B15:F15 I15:M15">
    <cfRule type="cellIs" dxfId="157" priority="6" operator="greaterThan">
      <formula>8</formula>
    </cfRule>
    <cfRule type="cellIs" dxfId="156" priority="111" operator="equal">
      <formula>8</formula>
    </cfRule>
  </conditionalFormatting>
  <conditionalFormatting sqref="P7:P14">
    <cfRule type="cellIs" dxfId="155" priority="5" operator="greaterThan">
      <formula>80</formula>
    </cfRule>
  </conditionalFormatting>
  <conditionalFormatting sqref="P15">
    <cfRule type="cellIs" dxfId="154" priority="4" operator="greaterThan">
      <formula>80</formula>
    </cfRule>
    <cfRule type="cellIs" dxfId="153" priority="112" operator="equal">
      <formula>80</formula>
    </cfRule>
  </conditionalFormatting>
  <conditionalFormatting sqref="H16">
    <cfRule type="cellIs" dxfId="152" priority="3" operator="greaterThan">
      <formula>40</formula>
    </cfRule>
    <cfRule type="cellIs" dxfId="151" priority="113" operator="equal">
      <formula>40</formula>
    </cfRule>
  </conditionalFormatting>
  <conditionalFormatting sqref="O16">
    <cfRule type="cellIs" dxfId="150" priority="2" operator="greaterThan">
      <formula>40</formula>
    </cfRule>
    <cfRule type="cellIs" dxfId="149" priority="114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47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4753" r:id="rId4" name="btnAddActivity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9"/>
  <dimension ref="A1:T215"/>
  <sheetViews>
    <sheetView workbookViewId="0">
      <selection activeCell="M13" sqref="M1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May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INDEX(Refs!D:D,MATCH('FY13-09'!B1 &amp; 'FY13-09'!B2,Refs!K:K,0))</f>
        <v>41379</v>
      </c>
      <c r="C5" s="12">
        <f>B5+1</f>
        <v>41380</v>
      </c>
      <c r="D5" s="12">
        <f t="shared" ref="D5:O5" si="0">C5+1</f>
        <v>41381</v>
      </c>
      <c r="E5" s="12">
        <f t="shared" si="0"/>
        <v>41382</v>
      </c>
      <c r="F5" s="12">
        <f t="shared" si="0"/>
        <v>41383</v>
      </c>
      <c r="G5" s="12">
        <f t="shared" si="0"/>
        <v>41384</v>
      </c>
      <c r="H5" s="12">
        <f t="shared" si="0"/>
        <v>41385</v>
      </c>
      <c r="I5" s="12">
        <f t="shared" si="0"/>
        <v>41386</v>
      </c>
      <c r="J5" s="12">
        <f t="shared" si="0"/>
        <v>41387</v>
      </c>
      <c r="K5" s="12">
        <f t="shared" si="0"/>
        <v>41388</v>
      </c>
      <c r="L5" s="12">
        <f t="shared" si="0"/>
        <v>41389</v>
      </c>
      <c r="M5" s="12">
        <f t="shared" si="0"/>
        <v>41390</v>
      </c>
      <c r="N5" s="12">
        <f t="shared" si="0"/>
        <v>41391</v>
      </c>
      <c r="O5" s="12">
        <f t="shared" si="0"/>
        <v>41392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3" t="s">
        <v>17</v>
      </c>
      <c r="B7" s="24"/>
      <c r="C7" s="24"/>
      <c r="D7" s="24"/>
      <c r="E7" s="24">
        <v>2.5</v>
      </c>
      <c r="F7" s="24"/>
      <c r="G7" s="24"/>
      <c r="H7" s="24"/>
      <c r="I7" s="24">
        <v>2</v>
      </c>
      <c r="J7" s="24"/>
      <c r="K7" s="24"/>
      <c r="L7" s="24">
        <v>0.5</v>
      </c>
      <c r="M7" s="24">
        <v>2</v>
      </c>
      <c r="N7" s="24"/>
      <c r="O7" s="24"/>
      <c r="P7" s="25">
        <f t="shared" ref="P7:P14" si="1">SUM(B7:O7)</f>
        <v>7</v>
      </c>
    </row>
    <row r="8" spans="1:20" ht="20.25" customHeight="1" x14ac:dyDescent="0.25">
      <c r="A8" s="23" t="s">
        <v>28</v>
      </c>
      <c r="B8" s="24">
        <v>4</v>
      </c>
      <c r="C8" s="24"/>
      <c r="D8" s="24">
        <v>4</v>
      </c>
      <c r="E8" s="24">
        <v>2</v>
      </c>
      <c r="F8" s="24">
        <v>2</v>
      </c>
      <c r="G8" s="24"/>
      <c r="H8" s="24"/>
      <c r="I8" s="24">
        <v>1.75</v>
      </c>
      <c r="J8" s="24">
        <v>3.5</v>
      </c>
      <c r="K8" s="24">
        <v>1.5</v>
      </c>
      <c r="L8" s="24">
        <v>1</v>
      </c>
      <c r="M8" s="24">
        <v>3.5</v>
      </c>
      <c r="N8" s="24"/>
      <c r="O8" s="24"/>
      <c r="P8" s="25">
        <f t="shared" si="1"/>
        <v>23.25</v>
      </c>
    </row>
    <row r="9" spans="1:20" ht="20.25" customHeight="1" x14ac:dyDescent="0.25">
      <c r="A9" s="23" t="s">
        <v>20</v>
      </c>
      <c r="B9" s="24"/>
      <c r="C9" s="24"/>
      <c r="D9" s="24">
        <v>2.5</v>
      </c>
      <c r="E9" s="24"/>
      <c r="F9" s="24"/>
      <c r="G9" s="24"/>
      <c r="H9" s="24"/>
      <c r="I9" s="24">
        <v>2.5</v>
      </c>
      <c r="J9" s="24"/>
      <c r="K9" s="24">
        <v>1.5</v>
      </c>
      <c r="L9" s="24"/>
      <c r="M9" s="24"/>
      <c r="N9" s="24"/>
      <c r="O9" s="24"/>
      <c r="P9" s="25">
        <f t="shared" si="1"/>
        <v>6.5</v>
      </c>
    </row>
    <row r="10" spans="1:20" ht="20.25" customHeight="1" x14ac:dyDescent="0.25">
      <c r="A10" s="23" t="s">
        <v>19</v>
      </c>
      <c r="B10" s="24"/>
      <c r="C10" s="24"/>
      <c r="D10" s="24"/>
      <c r="E10" s="24">
        <v>0.5</v>
      </c>
      <c r="F10" s="24"/>
      <c r="G10" s="24"/>
      <c r="H10" s="24"/>
      <c r="I10" s="24">
        <v>1</v>
      </c>
      <c r="J10" s="24">
        <v>0.75</v>
      </c>
      <c r="K10" s="24"/>
      <c r="L10" s="24">
        <v>1</v>
      </c>
      <c r="M10" s="24"/>
      <c r="N10" s="24"/>
      <c r="O10" s="24"/>
      <c r="P10" s="25">
        <f t="shared" si="1"/>
        <v>3.25</v>
      </c>
    </row>
    <row r="11" spans="1:20" ht="20.25" customHeight="1" x14ac:dyDescent="0.25">
      <c r="A11" s="23" t="s">
        <v>52</v>
      </c>
      <c r="B11" s="24"/>
      <c r="C11" s="24"/>
      <c r="D11" s="24">
        <v>1.5</v>
      </c>
      <c r="E11" s="24">
        <v>3</v>
      </c>
      <c r="F11" s="24">
        <v>4.25</v>
      </c>
      <c r="G11" s="24"/>
      <c r="H11" s="24"/>
      <c r="I11" s="24">
        <v>0.75</v>
      </c>
      <c r="J11" s="24">
        <v>2.75</v>
      </c>
      <c r="K11" s="24">
        <v>5</v>
      </c>
      <c r="L11" s="24">
        <v>4.5</v>
      </c>
      <c r="M11" s="24">
        <v>2</v>
      </c>
      <c r="N11" s="24"/>
      <c r="O11" s="24"/>
      <c r="P11" s="25">
        <f t="shared" si="1"/>
        <v>23.75</v>
      </c>
    </row>
    <row r="12" spans="1:20" ht="20.25" customHeight="1" x14ac:dyDescent="0.25">
      <c r="A12" s="23" t="s">
        <v>27</v>
      </c>
      <c r="B12" s="24">
        <v>4</v>
      </c>
      <c r="C12" s="24">
        <v>8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5">
        <f t="shared" si="1"/>
        <v>12</v>
      </c>
    </row>
    <row r="13" spans="1:20" ht="20.25" customHeight="1" x14ac:dyDescent="0.25">
      <c r="A13" s="23" t="s">
        <v>23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>
        <v>5.5</v>
      </c>
      <c r="O13" s="24"/>
      <c r="P13" s="25">
        <f t="shared" si="1"/>
        <v>5.5</v>
      </c>
    </row>
    <row r="14" spans="1:20" ht="20.25" customHeight="1" x14ac:dyDescent="0.25">
      <c r="A14" s="23" t="s">
        <v>18</v>
      </c>
      <c r="B14" s="24"/>
      <c r="C14" s="24"/>
      <c r="D14" s="24"/>
      <c r="E14" s="24"/>
      <c r="F14" s="24">
        <v>1.75</v>
      </c>
      <c r="G14" s="24"/>
      <c r="H14" s="24"/>
      <c r="I14" s="24"/>
      <c r="J14" s="24">
        <v>1</v>
      </c>
      <c r="K14" s="24"/>
      <c r="L14" s="24">
        <v>1</v>
      </c>
      <c r="M14" s="24">
        <v>0.5</v>
      </c>
      <c r="N14" s="24"/>
      <c r="O14" s="24"/>
      <c r="P14" s="25">
        <f t="shared" si="1"/>
        <v>4.25</v>
      </c>
    </row>
    <row r="15" spans="1:20" ht="20.25" customHeight="1" x14ac:dyDescent="0.2">
      <c r="A15" s="15" t="s">
        <v>38</v>
      </c>
      <c r="B15" s="14">
        <f t="shared" ref="B15:P15" si="2">SUM(B7:B14)</f>
        <v>8</v>
      </c>
      <c r="C15" s="14">
        <f t="shared" si="2"/>
        <v>8</v>
      </c>
      <c r="D15" s="14">
        <f t="shared" si="2"/>
        <v>8</v>
      </c>
      <c r="E15" s="14">
        <f t="shared" si="2"/>
        <v>8</v>
      </c>
      <c r="F15" s="14">
        <f t="shared" si="2"/>
        <v>8</v>
      </c>
      <c r="G15" s="14">
        <f t="shared" si="2"/>
        <v>0</v>
      </c>
      <c r="H15" s="14">
        <f t="shared" si="2"/>
        <v>0</v>
      </c>
      <c r="I15" s="14">
        <f t="shared" si="2"/>
        <v>8</v>
      </c>
      <c r="J15" s="14">
        <f t="shared" si="2"/>
        <v>8</v>
      </c>
      <c r="K15" s="14">
        <f t="shared" si="2"/>
        <v>8</v>
      </c>
      <c r="L15" s="14">
        <f t="shared" si="2"/>
        <v>8</v>
      </c>
      <c r="M15" s="14">
        <f t="shared" si="2"/>
        <v>8</v>
      </c>
      <c r="N15" s="14">
        <f t="shared" si="2"/>
        <v>5.5</v>
      </c>
      <c r="O15" s="14">
        <f t="shared" si="2"/>
        <v>0</v>
      </c>
      <c r="P15" s="14">
        <f t="shared" si="2"/>
        <v>85.5</v>
      </c>
    </row>
    <row r="16" spans="1:20" ht="20.25" customHeight="1" x14ac:dyDescent="0.25">
      <c r="A16"/>
      <c r="B16"/>
      <c r="C16"/>
      <c r="D16"/>
      <c r="E16"/>
      <c r="F16"/>
      <c r="G16" s="23" t="s">
        <v>59</v>
      </c>
      <c r="H16" s="14">
        <f>SUM(B15:H15)</f>
        <v>40</v>
      </c>
      <c r="I16"/>
      <c r="J16"/>
      <c r="K16"/>
      <c r="L16"/>
      <c r="M16"/>
      <c r="N16" s="23" t="s">
        <v>60</v>
      </c>
      <c r="O16" s="14">
        <f>SUM(I15:O15)</f>
        <v>45.5</v>
      </c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</sheetData>
  <sortState ref="A7:P14">
    <sortCondition ref="A7:A14"/>
  </sortState>
  <dataConsolidate/>
  <conditionalFormatting sqref="G15:H15 N15:O15">
    <cfRule type="cellIs" dxfId="148" priority="1" operator="greaterThan">
      <formula>8</formula>
    </cfRule>
  </conditionalFormatting>
  <conditionalFormatting sqref="B15:F15 I15:M15">
    <cfRule type="cellIs" dxfId="147" priority="6" operator="greaterThan">
      <formula>8</formula>
    </cfRule>
    <cfRule type="cellIs" dxfId="146" priority="111" operator="equal">
      <formula>8</formula>
    </cfRule>
  </conditionalFormatting>
  <conditionalFormatting sqref="P7:P14">
    <cfRule type="cellIs" dxfId="145" priority="5" operator="greaterThan">
      <formula>80</formula>
    </cfRule>
  </conditionalFormatting>
  <conditionalFormatting sqref="P15">
    <cfRule type="cellIs" dxfId="144" priority="4" operator="greaterThan">
      <formula>80</formula>
    </cfRule>
    <cfRule type="cellIs" dxfId="143" priority="112" operator="equal">
      <formula>80</formula>
    </cfRule>
  </conditionalFormatting>
  <conditionalFormatting sqref="H16">
    <cfRule type="cellIs" dxfId="142" priority="3" operator="greaterThan">
      <formula>40</formula>
    </cfRule>
    <cfRule type="cellIs" dxfId="141" priority="113" operator="equal">
      <formula>40</formula>
    </cfRule>
  </conditionalFormatting>
  <conditionalFormatting sqref="O16">
    <cfRule type="cellIs" dxfId="140" priority="2" operator="greaterThan">
      <formula>40</formula>
    </cfRule>
    <cfRule type="cellIs" dxfId="139" priority="114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168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1681" r:id="rId4" name="btnAddActivity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/>
  <dimension ref="A1:T217"/>
  <sheetViews>
    <sheetView workbookViewId="0">
      <selection activeCell="G16" sqref="G16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8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April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INDEX(Refs!D:D,MATCH('FY13-08'!B1 &amp; 'FY13-08'!B2,Refs!K:K,0))</f>
        <v>41365</v>
      </c>
      <c r="C5" s="12">
        <f>B5+1</f>
        <v>41366</v>
      </c>
      <c r="D5" s="12">
        <f t="shared" ref="D5:O5" si="0">C5+1</f>
        <v>41367</v>
      </c>
      <c r="E5" s="12">
        <f t="shared" si="0"/>
        <v>41368</v>
      </c>
      <c r="F5" s="12">
        <f t="shared" si="0"/>
        <v>41369</v>
      </c>
      <c r="G5" s="12">
        <f t="shared" si="0"/>
        <v>41370</v>
      </c>
      <c r="H5" s="12">
        <f t="shared" si="0"/>
        <v>41371</v>
      </c>
      <c r="I5" s="12">
        <f t="shared" si="0"/>
        <v>41372</v>
      </c>
      <c r="J5" s="12">
        <f t="shared" si="0"/>
        <v>41373</v>
      </c>
      <c r="K5" s="12">
        <f t="shared" si="0"/>
        <v>41374</v>
      </c>
      <c r="L5" s="12">
        <f t="shared" si="0"/>
        <v>41375</v>
      </c>
      <c r="M5" s="12">
        <f t="shared" si="0"/>
        <v>41376</v>
      </c>
      <c r="N5" s="12">
        <f t="shared" si="0"/>
        <v>41377</v>
      </c>
      <c r="O5" s="12">
        <f t="shared" si="0"/>
        <v>41378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>
        <v>0.75</v>
      </c>
      <c r="D7" s="24">
        <v>1</v>
      </c>
      <c r="E7" s="24">
        <v>2</v>
      </c>
      <c r="F7" s="24">
        <v>1.25</v>
      </c>
      <c r="G7" s="24"/>
      <c r="H7" s="24"/>
      <c r="I7" s="24">
        <v>1</v>
      </c>
      <c r="J7" s="24">
        <v>1</v>
      </c>
      <c r="K7" s="24"/>
      <c r="L7" s="24">
        <v>2.25</v>
      </c>
      <c r="M7" s="24">
        <v>2</v>
      </c>
      <c r="N7" s="24"/>
      <c r="O7" s="24"/>
      <c r="P7" s="25">
        <f t="shared" ref="P7:P16" si="1">SUM(B7:O7)</f>
        <v>11.25</v>
      </c>
    </row>
    <row r="8" spans="1:16" ht="20.25" customHeight="1" x14ac:dyDescent="0.25">
      <c r="A8" s="23" t="s">
        <v>28</v>
      </c>
      <c r="B8" s="24">
        <v>3.5</v>
      </c>
      <c r="C8" s="24">
        <v>4</v>
      </c>
      <c r="D8" s="24">
        <v>3.75</v>
      </c>
      <c r="E8" s="24">
        <v>1.25</v>
      </c>
      <c r="F8" s="24">
        <v>4.5</v>
      </c>
      <c r="G8" s="24"/>
      <c r="H8" s="24"/>
      <c r="I8" s="24">
        <v>2.5</v>
      </c>
      <c r="J8" s="24">
        <v>3</v>
      </c>
      <c r="K8" s="24"/>
      <c r="L8" s="24">
        <v>3.75</v>
      </c>
      <c r="M8" s="24">
        <v>4.75</v>
      </c>
      <c r="N8" s="24"/>
      <c r="O8" s="24"/>
      <c r="P8" s="25">
        <f t="shared" si="1"/>
        <v>31</v>
      </c>
    </row>
    <row r="9" spans="1:16" ht="20.25" customHeight="1" x14ac:dyDescent="0.25">
      <c r="A9" s="23" t="s">
        <v>26</v>
      </c>
      <c r="B9" s="24"/>
      <c r="C9" s="24"/>
      <c r="D9" s="24"/>
      <c r="E9" s="24">
        <v>0.5</v>
      </c>
      <c r="F9" s="24"/>
      <c r="G9" s="24"/>
      <c r="H9" s="24"/>
      <c r="I9" s="24">
        <v>0.75</v>
      </c>
      <c r="J9" s="24"/>
      <c r="K9" s="24"/>
      <c r="L9" s="24"/>
      <c r="M9" s="24"/>
      <c r="N9" s="24"/>
      <c r="O9" s="24"/>
      <c r="P9" s="25">
        <f t="shared" si="1"/>
        <v>1.25</v>
      </c>
    </row>
    <row r="10" spans="1:16" ht="20.25" customHeight="1" x14ac:dyDescent="0.25">
      <c r="A10" s="23" t="s">
        <v>50</v>
      </c>
      <c r="B10" s="24"/>
      <c r="C10" s="24"/>
      <c r="D10" s="24"/>
      <c r="E10" s="24">
        <v>0.75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0.75</v>
      </c>
    </row>
    <row r="11" spans="1:16" ht="20.25" customHeight="1" x14ac:dyDescent="0.25">
      <c r="A11" s="23" t="s">
        <v>20</v>
      </c>
      <c r="B11" s="24">
        <v>2</v>
      </c>
      <c r="C11" s="24"/>
      <c r="D11" s="24">
        <v>1.75</v>
      </c>
      <c r="E11" s="24">
        <v>1.5</v>
      </c>
      <c r="F11" s="24"/>
      <c r="G11" s="24"/>
      <c r="H11" s="24"/>
      <c r="I11" s="24">
        <v>1.5</v>
      </c>
      <c r="J11" s="24"/>
      <c r="K11" s="24"/>
      <c r="L11" s="24">
        <v>1</v>
      </c>
      <c r="M11" s="24">
        <v>1</v>
      </c>
      <c r="N11" s="24"/>
      <c r="O11" s="24"/>
      <c r="P11" s="25">
        <f t="shared" si="1"/>
        <v>8.75</v>
      </c>
    </row>
    <row r="12" spans="1:16" ht="20.25" customHeight="1" x14ac:dyDescent="0.25">
      <c r="A12" s="23" t="s">
        <v>19</v>
      </c>
      <c r="B12" s="24">
        <v>2</v>
      </c>
      <c r="C12" s="24"/>
      <c r="D12" s="24"/>
      <c r="E12" s="24"/>
      <c r="F12" s="24">
        <v>1</v>
      </c>
      <c r="G12" s="24"/>
      <c r="H12" s="24"/>
      <c r="I12" s="24">
        <v>1</v>
      </c>
      <c r="J12" s="24"/>
      <c r="K12" s="24"/>
      <c r="L12" s="24"/>
      <c r="M12" s="24"/>
      <c r="N12" s="24"/>
      <c r="O12" s="24"/>
      <c r="P12" s="25">
        <f t="shared" si="1"/>
        <v>4</v>
      </c>
    </row>
    <row r="13" spans="1:16" ht="20.25" customHeight="1" x14ac:dyDescent="0.25">
      <c r="A13" s="23" t="s">
        <v>52</v>
      </c>
      <c r="B13" s="24"/>
      <c r="C13" s="24">
        <v>2.25</v>
      </c>
      <c r="D13" s="24">
        <v>1.25</v>
      </c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5">
        <f t="shared" si="1"/>
        <v>3.5</v>
      </c>
    </row>
    <row r="14" spans="1:16" ht="20.25" customHeight="1" x14ac:dyDescent="0.25">
      <c r="A14" s="7" t="s">
        <v>27</v>
      </c>
      <c r="B14" s="21"/>
      <c r="C14" s="21"/>
      <c r="D14" s="21"/>
      <c r="E14" s="21"/>
      <c r="F14" s="21"/>
      <c r="G14" s="21"/>
      <c r="H14" s="21"/>
      <c r="I14" s="21"/>
      <c r="J14" s="21">
        <v>4</v>
      </c>
      <c r="K14" s="21">
        <v>8</v>
      </c>
      <c r="L14" s="21"/>
      <c r="M14" s="21"/>
      <c r="N14" s="21"/>
      <c r="O14" s="21"/>
      <c r="P14" s="5">
        <f t="shared" si="1"/>
        <v>12</v>
      </c>
    </row>
    <row r="15" spans="1:16" ht="20.25" customHeight="1" x14ac:dyDescent="0.25">
      <c r="A15" s="23" t="s">
        <v>23</v>
      </c>
      <c r="B15" s="24"/>
      <c r="C15" s="24">
        <v>2.25</v>
      </c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5">
        <f t="shared" si="1"/>
        <v>2.25</v>
      </c>
    </row>
    <row r="16" spans="1:16" ht="20.25" customHeight="1" x14ac:dyDescent="0.25">
      <c r="A16" s="23" t="s">
        <v>18</v>
      </c>
      <c r="B16" s="24">
        <v>0.5</v>
      </c>
      <c r="C16" s="24"/>
      <c r="D16" s="24">
        <v>0.25</v>
      </c>
      <c r="E16" s="24">
        <v>2</v>
      </c>
      <c r="F16" s="24">
        <v>1.25</v>
      </c>
      <c r="G16" s="24"/>
      <c r="H16" s="24"/>
      <c r="I16" s="24">
        <v>1.25</v>
      </c>
      <c r="J16" s="24"/>
      <c r="K16" s="24"/>
      <c r="L16" s="24">
        <v>1</v>
      </c>
      <c r="M16" s="24">
        <v>0.25</v>
      </c>
      <c r="N16" s="24"/>
      <c r="O16" s="24"/>
      <c r="P16" s="25">
        <f t="shared" si="1"/>
        <v>6.5</v>
      </c>
    </row>
    <row r="17" spans="1:20" ht="20.25" customHeight="1" x14ac:dyDescent="0.2">
      <c r="A17" s="15" t="s">
        <v>38</v>
      </c>
      <c r="B17" s="14">
        <f t="shared" ref="B17:P17" si="2">SUM(B7:B16)</f>
        <v>8</v>
      </c>
      <c r="C17" s="14">
        <f t="shared" si="2"/>
        <v>9.25</v>
      </c>
      <c r="D17" s="14">
        <f t="shared" si="2"/>
        <v>8</v>
      </c>
      <c r="E17" s="14">
        <f t="shared" si="2"/>
        <v>8</v>
      </c>
      <c r="F17" s="14">
        <f t="shared" si="2"/>
        <v>8</v>
      </c>
      <c r="G17" s="14">
        <f t="shared" si="2"/>
        <v>0</v>
      </c>
      <c r="H17" s="14">
        <f t="shared" si="2"/>
        <v>0</v>
      </c>
      <c r="I17" s="14">
        <f t="shared" si="2"/>
        <v>8</v>
      </c>
      <c r="J17" s="14">
        <f t="shared" si="2"/>
        <v>8</v>
      </c>
      <c r="K17" s="14">
        <f t="shared" si="2"/>
        <v>8</v>
      </c>
      <c r="L17" s="14">
        <f t="shared" si="2"/>
        <v>8</v>
      </c>
      <c r="M17" s="14">
        <f t="shared" si="2"/>
        <v>8</v>
      </c>
      <c r="N17" s="14">
        <f t="shared" si="2"/>
        <v>0</v>
      </c>
      <c r="O17" s="14">
        <f t="shared" si="2"/>
        <v>0</v>
      </c>
      <c r="P17" s="14">
        <f t="shared" si="2"/>
        <v>81.25</v>
      </c>
    </row>
    <row r="18" spans="1:20" ht="20.25" customHeight="1" x14ac:dyDescent="0.25">
      <c r="A18"/>
      <c r="B18"/>
      <c r="C18"/>
      <c r="D18"/>
      <c r="E18"/>
      <c r="F18"/>
      <c r="G18" s="23" t="s">
        <v>59</v>
      </c>
      <c r="H18" s="14">
        <f>SUM(B17:H17)</f>
        <v>41.25</v>
      </c>
      <c r="I18"/>
      <c r="J18"/>
      <c r="K18"/>
      <c r="L18"/>
      <c r="M18"/>
      <c r="N18" s="23" t="s">
        <v>60</v>
      </c>
      <c r="O18" s="14">
        <f>SUM(I17:O17)</f>
        <v>40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dataConsolidate/>
  <conditionalFormatting sqref="B17:F17 I17:M17">
    <cfRule type="cellIs" dxfId="138" priority="6" operator="greaterThan">
      <formula>8</formula>
    </cfRule>
    <cfRule type="cellIs" dxfId="137" priority="311" operator="equal">
      <formula>8</formula>
    </cfRule>
  </conditionalFormatting>
  <conditionalFormatting sqref="P7:P16">
    <cfRule type="cellIs" dxfId="136" priority="5" operator="greaterThan">
      <formula>80</formula>
    </cfRule>
  </conditionalFormatting>
  <conditionalFormatting sqref="P17">
    <cfRule type="cellIs" dxfId="135" priority="4" operator="greaterThan">
      <formula>80</formula>
    </cfRule>
    <cfRule type="cellIs" dxfId="134" priority="312" operator="equal">
      <formula>80</formula>
    </cfRule>
  </conditionalFormatting>
  <conditionalFormatting sqref="H18">
    <cfRule type="cellIs" dxfId="133" priority="3" operator="greaterThan">
      <formula>40</formula>
    </cfRule>
    <cfRule type="cellIs" dxfId="132" priority="313" operator="equal">
      <formula>40</formula>
    </cfRule>
  </conditionalFormatting>
  <conditionalFormatting sqref="O18">
    <cfRule type="cellIs" dxfId="131" priority="2" operator="greaterThan">
      <formula>40</formula>
    </cfRule>
    <cfRule type="cellIs" dxfId="130" priority="314" operator="equal">
      <formula>40</formula>
    </cfRule>
  </conditionalFormatting>
  <conditionalFormatting sqref="G17:H17 N17:O17">
    <cfRule type="cellIs" dxfId="12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27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2705" r:id="rId4" name="btnAddActivity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/>
  <dimension ref="A1:T218"/>
  <sheetViews>
    <sheetView workbookViewId="0">
      <selection activeCell="G17" sqref="G17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7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April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INDEX(Refs!D:D,MATCH('FY13-07'!B1 &amp; 'FY13-07'!B2,Refs!K:K,0))</f>
        <v>41351</v>
      </c>
      <c r="C5" s="12">
        <f>B5+1</f>
        <v>41352</v>
      </c>
      <c r="D5" s="12">
        <f t="shared" ref="D5:O5" si="0">C5+1</f>
        <v>41353</v>
      </c>
      <c r="E5" s="12">
        <f t="shared" si="0"/>
        <v>41354</v>
      </c>
      <c r="F5" s="12">
        <f t="shared" si="0"/>
        <v>41355</v>
      </c>
      <c r="G5" s="12">
        <f t="shared" si="0"/>
        <v>41356</v>
      </c>
      <c r="H5" s="12">
        <f t="shared" si="0"/>
        <v>41357</v>
      </c>
      <c r="I5" s="12">
        <f t="shared" si="0"/>
        <v>41358</v>
      </c>
      <c r="J5" s="12">
        <f t="shared" si="0"/>
        <v>41359</v>
      </c>
      <c r="K5" s="12">
        <f t="shared" si="0"/>
        <v>41360</v>
      </c>
      <c r="L5" s="12">
        <f t="shared" si="0"/>
        <v>41361</v>
      </c>
      <c r="M5" s="12">
        <f t="shared" si="0"/>
        <v>41362</v>
      </c>
      <c r="N5" s="12">
        <f t="shared" si="0"/>
        <v>41363</v>
      </c>
      <c r="O5" s="12">
        <f t="shared" si="0"/>
        <v>41364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/>
      <c r="D7" s="24">
        <v>1.25</v>
      </c>
      <c r="E7" s="24">
        <v>0.5</v>
      </c>
      <c r="F7" s="24">
        <v>1</v>
      </c>
      <c r="G7" s="24"/>
      <c r="H7" s="24"/>
      <c r="I7" s="24">
        <v>1</v>
      </c>
      <c r="J7" s="24">
        <v>1</v>
      </c>
      <c r="K7" s="24"/>
      <c r="L7" s="24">
        <v>1.25</v>
      </c>
      <c r="M7" s="24"/>
      <c r="N7" s="24"/>
      <c r="O7" s="24"/>
      <c r="P7" s="25">
        <f t="shared" ref="P7:P17" si="1">SUM(B7:O7)</f>
        <v>6</v>
      </c>
    </row>
    <row r="8" spans="1:16" ht="20.25" customHeight="1" x14ac:dyDescent="0.25">
      <c r="A8" s="23" t="s">
        <v>28</v>
      </c>
      <c r="B8" s="24">
        <v>3</v>
      </c>
      <c r="C8" s="24">
        <v>3.5</v>
      </c>
      <c r="D8" s="24">
        <v>4</v>
      </c>
      <c r="E8" s="24">
        <v>2</v>
      </c>
      <c r="F8" s="24">
        <v>2</v>
      </c>
      <c r="G8" s="24"/>
      <c r="H8" s="24"/>
      <c r="I8" s="24">
        <v>3.5</v>
      </c>
      <c r="J8" s="24">
        <v>5.5</v>
      </c>
      <c r="K8" s="24">
        <v>4.5</v>
      </c>
      <c r="L8" s="24">
        <v>5</v>
      </c>
      <c r="M8" s="24">
        <v>2.5</v>
      </c>
      <c r="N8" s="24"/>
      <c r="O8" s="24"/>
      <c r="P8" s="25">
        <f t="shared" si="1"/>
        <v>35.5</v>
      </c>
    </row>
    <row r="9" spans="1:16" ht="20.25" customHeight="1" x14ac:dyDescent="0.25">
      <c r="A9" s="23" t="s">
        <v>25</v>
      </c>
      <c r="B9" s="24"/>
      <c r="C9" s="24"/>
      <c r="D9" s="24"/>
      <c r="E9" s="24">
        <v>1.75</v>
      </c>
      <c r="F9" s="24"/>
      <c r="G9" s="24"/>
      <c r="H9" s="24"/>
      <c r="I9" s="24"/>
      <c r="J9" s="24"/>
      <c r="K9" s="24">
        <v>1</v>
      </c>
      <c r="L9" s="24"/>
      <c r="M9" s="24"/>
      <c r="N9" s="24"/>
      <c r="O9" s="24"/>
      <c r="P9" s="25">
        <f t="shared" si="1"/>
        <v>2.75</v>
      </c>
    </row>
    <row r="10" spans="1:16" ht="20.25" customHeight="1" x14ac:dyDescent="0.25">
      <c r="A10" s="23" t="s">
        <v>26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>
        <v>1</v>
      </c>
      <c r="N10" s="24"/>
      <c r="O10" s="24"/>
      <c r="P10" s="25">
        <f t="shared" si="1"/>
        <v>1</v>
      </c>
    </row>
    <row r="11" spans="1:16" ht="20.25" customHeight="1" x14ac:dyDescent="0.25">
      <c r="A11" s="23" t="s">
        <v>20</v>
      </c>
      <c r="B11" s="24">
        <v>1.5</v>
      </c>
      <c r="C11" s="24">
        <v>2.5</v>
      </c>
      <c r="D11" s="24"/>
      <c r="E11" s="24">
        <v>1.25</v>
      </c>
      <c r="F11" s="24"/>
      <c r="G11" s="24"/>
      <c r="H11" s="24"/>
      <c r="I11" s="24">
        <v>1.5</v>
      </c>
      <c r="J11" s="24">
        <v>1.5</v>
      </c>
      <c r="K11" s="24"/>
      <c r="L11" s="24"/>
      <c r="M11" s="24">
        <v>2.5</v>
      </c>
      <c r="N11" s="24"/>
      <c r="O11" s="24"/>
      <c r="P11" s="25">
        <f t="shared" si="1"/>
        <v>10.75</v>
      </c>
    </row>
    <row r="12" spans="1:16" ht="20.25" customHeight="1" x14ac:dyDescent="0.25">
      <c r="A12" s="23" t="s">
        <v>21</v>
      </c>
      <c r="B12" s="24">
        <v>1.5</v>
      </c>
      <c r="C12" s="24"/>
      <c r="D12" s="24">
        <v>2</v>
      </c>
      <c r="E12" s="24"/>
      <c r="F12" s="24">
        <v>4.5</v>
      </c>
      <c r="G12" s="24"/>
      <c r="H12" s="24"/>
      <c r="I12" s="24"/>
      <c r="J12" s="24"/>
      <c r="K12" s="24"/>
      <c r="L12" s="24"/>
      <c r="M12" s="24"/>
      <c r="N12" s="24"/>
      <c r="O12" s="24"/>
      <c r="P12" s="25">
        <f t="shared" si="1"/>
        <v>8</v>
      </c>
    </row>
    <row r="13" spans="1:16" ht="20.25" customHeight="1" x14ac:dyDescent="0.25">
      <c r="A13" s="23" t="s">
        <v>19</v>
      </c>
      <c r="B13" s="24">
        <v>2</v>
      </c>
      <c r="C13" s="24">
        <v>0.5</v>
      </c>
      <c r="D13" s="24"/>
      <c r="E13" s="24"/>
      <c r="F13" s="24">
        <v>0.5</v>
      </c>
      <c r="G13" s="24"/>
      <c r="H13" s="24"/>
      <c r="I13" s="24">
        <v>2</v>
      </c>
      <c r="J13" s="24"/>
      <c r="K13" s="24"/>
      <c r="L13" s="24">
        <v>0.5</v>
      </c>
      <c r="M13" s="24"/>
      <c r="N13" s="24"/>
      <c r="O13" s="24"/>
      <c r="P13" s="25">
        <f t="shared" si="1"/>
        <v>5.5</v>
      </c>
    </row>
    <row r="14" spans="1:16" ht="20.25" customHeight="1" x14ac:dyDescent="0.25">
      <c r="A14" s="23" t="s">
        <v>52</v>
      </c>
      <c r="B14" s="24"/>
      <c r="C14" s="24">
        <v>1.5</v>
      </c>
      <c r="D14" s="24"/>
      <c r="E14" s="24"/>
      <c r="F14" s="24"/>
      <c r="G14" s="24"/>
      <c r="H14" s="24"/>
      <c r="I14" s="24"/>
      <c r="J14" s="24"/>
      <c r="K14" s="24">
        <v>1.5</v>
      </c>
      <c r="L14" s="24"/>
      <c r="M14" s="24">
        <v>2</v>
      </c>
      <c r="N14" s="24"/>
      <c r="O14" s="24"/>
      <c r="P14" s="25">
        <f t="shared" si="1"/>
        <v>5</v>
      </c>
    </row>
    <row r="15" spans="1:16" ht="20.25" customHeight="1" x14ac:dyDescent="0.25">
      <c r="A15" s="23" t="s">
        <v>42</v>
      </c>
      <c r="B15" s="24"/>
      <c r="C15" s="24"/>
      <c r="D15" s="24"/>
      <c r="E15" s="24">
        <v>2.5</v>
      </c>
      <c r="F15" s="24"/>
      <c r="G15" s="24"/>
      <c r="H15" s="24"/>
      <c r="I15" s="24"/>
      <c r="J15" s="24"/>
      <c r="K15" s="24"/>
      <c r="L15" s="24"/>
      <c r="M15" s="24"/>
      <c r="N15" s="24"/>
      <c r="O15" s="24"/>
      <c r="P15" s="25">
        <f t="shared" si="1"/>
        <v>2.5</v>
      </c>
    </row>
    <row r="16" spans="1:16" ht="20.25" customHeight="1" x14ac:dyDescent="0.25">
      <c r="A16" s="23" t="s">
        <v>23</v>
      </c>
      <c r="B16" s="24"/>
      <c r="C16" s="24"/>
      <c r="D16" s="24"/>
      <c r="E16" s="24"/>
      <c r="F16" s="24"/>
      <c r="G16" s="24">
        <v>7.75</v>
      </c>
      <c r="H16" s="24"/>
      <c r="I16" s="24"/>
      <c r="J16" s="24"/>
      <c r="K16" s="24"/>
      <c r="L16" s="24"/>
      <c r="M16" s="24"/>
      <c r="N16" s="24"/>
      <c r="O16" s="24"/>
      <c r="P16" s="25">
        <f t="shared" si="1"/>
        <v>7.75</v>
      </c>
    </row>
    <row r="17" spans="1:20" ht="20.25" customHeight="1" x14ac:dyDescent="0.25">
      <c r="A17" s="23" t="s">
        <v>18</v>
      </c>
      <c r="B17" s="24"/>
      <c r="C17" s="24"/>
      <c r="D17" s="24">
        <v>0.75</v>
      </c>
      <c r="E17" s="24"/>
      <c r="F17" s="24"/>
      <c r="G17" s="24"/>
      <c r="H17" s="24"/>
      <c r="I17" s="24"/>
      <c r="J17" s="24"/>
      <c r="K17" s="24">
        <v>1</v>
      </c>
      <c r="L17" s="24">
        <v>1.25</v>
      </c>
      <c r="M17" s="24"/>
      <c r="N17" s="24"/>
      <c r="O17" s="24"/>
      <c r="P17" s="25">
        <f t="shared" si="1"/>
        <v>3</v>
      </c>
    </row>
    <row r="18" spans="1:20" ht="20.25" customHeight="1" x14ac:dyDescent="0.2">
      <c r="A18" s="15" t="s">
        <v>38</v>
      </c>
      <c r="B18" s="14">
        <f t="shared" ref="B18:P18" si="2">SUM(B7:B17)</f>
        <v>8</v>
      </c>
      <c r="C18" s="14">
        <f t="shared" si="2"/>
        <v>8</v>
      </c>
      <c r="D18" s="14">
        <f t="shared" si="2"/>
        <v>8</v>
      </c>
      <c r="E18" s="14">
        <f t="shared" si="2"/>
        <v>8</v>
      </c>
      <c r="F18" s="14">
        <f t="shared" si="2"/>
        <v>8</v>
      </c>
      <c r="G18" s="14">
        <f t="shared" si="2"/>
        <v>7.75</v>
      </c>
      <c r="H18" s="14">
        <f t="shared" si="2"/>
        <v>0</v>
      </c>
      <c r="I18" s="14">
        <f t="shared" si="2"/>
        <v>8</v>
      </c>
      <c r="J18" s="14">
        <f t="shared" si="2"/>
        <v>8</v>
      </c>
      <c r="K18" s="14">
        <f t="shared" si="2"/>
        <v>8</v>
      </c>
      <c r="L18" s="14">
        <f t="shared" si="2"/>
        <v>8</v>
      </c>
      <c r="M18" s="14">
        <f t="shared" si="2"/>
        <v>8</v>
      </c>
      <c r="N18" s="14">
        <f t="shared" si="2"/>
        <v>0</v>
      </c>
      <c r="O18" s="14">
        <f t="shared" si="2"/>
        <v>0</v>
      </c>
      <c r="P18" s="14">
        <f t="shared" si="2"/>
        <v>87.75</v>
      </c>
    </row>
    <row r="19" spans="1:20" ht="20.25" customHeight="1" x14ac:dyDescent="0.25">
      <c r="A19"/>
      <c r="B19"/>
      <c r="C19"/>
      <c r="D19"/>
      <c r="E19"/>
      <c r="F19"/>
      <c r="G19" s="23" t="s">
        <v>59</v>
      </c>
      <c r="H19" s="14">
        <f>SUM(B18:H18)</f>
        <v>47.75</v>
      </c>
      <c r="I19"/>
      <c r="J19"/>
      <c r="K19"/>
      <c r="L19"/>
      <c r="M19"/>
      <c r="N19" s="23" t="s">
        <v>60</v>
      </c>
      <c r="O19" s="14">
        <f>SUM(I18:O18)</f>
        <v>40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dataConsolidate/>
  <conditionalFormatting sqref="G18:H18 N18:O18">
    <cfRule type="cellIs" dxfId="128" priority="1" operator="greaterThan">
      <formula>8</formula>
    </cfRule>
  </conditionalFormatting>
  <conditionalFormatting sqref="B18:F18 I18:M18">
    <cfRule type="cellIs" dxfId="127" priority="6" operator="greaterThan">
      <formula>8</formula>
    </cfRule>
    <cfRule type="cellIs" dxfId="126" priority="327" operator="equal">
      <formula>8</formula>
    </cfRule>
  </conditionalFormatting>
  <conditionalFormatting sqref="P7:P17">
    <cfRule type="cellIs" dxfId="125" priority="5" operator="greaterThan">
      <formula>80</formula>
    </cfRule>
  </conditionalFormatting>
  <conditionalFormatting sqref="P18">
    <cfRule type="cellIs" dxfId="124" priority="4" operator="greaterThan">
      <formula>80</formula>
    </cfRule>
    <cfRule type="cellIs" dxfId="123" priority="328" operator="equal">
      <formula>80</formula>
    </cfRule>
  </conditionalFormatting>
  <conditionalFormatting sqref="H19">
    <cfRule type="cellIs" dxfId="122" priority="3" operator="greaterThan">
      <formula>40</formula>
    </cfRule>
    <cfRule type="cellIs" dxfId="121" priority="329" operator="equal">
      <formula>40</formula>
    </cfRule>
  </conditionalFormatting>
  <conditionalFormatting sqref="O19">
    <cfRule type="cellIs" dxfId="120" priority="2" operator="greaterThan">
      <formula>40</formula>
    </cfRule>
    <cfRule type="cellIs" dxfId="119" priority="330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7372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73729" r:id="rId4" name="btnAddActivity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T215"/>
  <sheetViews>
    <sheetView workbookViewId="0">
      <selection activeCell="A4" sqref="A4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20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20" ht="20.25" customHeight="1" x14ac:dyDescent="0.25">
      <c r="A2" s="7" t="s">
        <v>15</v>
      </c>
      <c r="B2" s="17">
        <v>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20" ht="20.25" customHeight="1" x14ac:dyDescent="0.25">
      <c r="A3" s="7" t="s">
        <v>39</v>
      </c>
      <c r="B3" s="18" t="str">
        <f>INDEX(Refs!I:I,MATCH(B1 &amp; B2,Refs!K:K,0))</f>
        <v>March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20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20" ht="20.25" customHeight="1" x14ac:dyDescent="0.25">
      <c r="A5" s="7"/>
      <c r="B5" s="12">
        <f>INDEX(Refs!D:D,MATCH('FY13-06'!B1 &amp; 'FY13-06'!B2,Refs!K:K,0))</f>
        <v>41337</v>
      </c>
      <c r="C5" s="12">
        <f>B5+1</f>
        <v>41338</v>
      </c>
      <c r="D5" s="12">
        <f t="shared" ref="D5:O5" si="0">C5+1</f>
        <v>41339</v>
      </c>
      <c r="E5" s="12">
        <f t="shared" si="0"/>
        <v>41340</v>
      </c>
      <c r="F5" s="12">
        <f t="shared" si="0"/>
        <v>41341</v>
      </c>
      <c r="G5" s="12">
        <f t="shared" si="0"/>
        <v>41342</v>
      </c>
      <c r="H5" s="12">
        <f t="shared" si="0"/>
        <v>41343</v>
      </c>
      <c r="I5" s="12">
        <f t="shared" si="0"/>
        <v>41344</v>
      </c>
      <c r="J5" s="12">
        <f t="shared" si="0"/>
        <v>41345</v>
      </c>
      <c r="K5" s="12">
        <f t="shared" si="0"/>
        <v>41346</v>
      </c>
      <c r="L5" s="12">
        <f t="shared" si="0"/>
        <v>41347</v>
      </c>
      <c r="M5" s="12">
        <f t="shared" si="0"/>
        <v>41348</v>
      </c>
      <c r="N5" s="12">
        <f t="shared" si="0"/>
        <v>41349</v>
      </c>
      <c r="O5" s="12">
        <f t="shared" si="0"/>
        <v>41350</v>
      </c>
    </row>
    <row r="6" spans="1:20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20" ht="20.25" customHeight="1" x14ac:dyDescent="0.25">
      <c r="A7" s="23" t="s">
        <v>17</v>
      </c>
      <c r="B7" s="24">
        <v>1.25</v>
      </c>
      <c r="C7" s="24">
        <v>0.5</v>
      </c>
      <c r="D7" s="24">
        <v>2.75</v>
      </c>
      <c r="E7" s="24">
        <v>1.5</v>
      </c>
      <c r="F7" s="24"/>
      <c r="G7" s="24"/>
      <c r="H7" s="24"/>
      <c r="I7" s="24"/>
      <c r="J7" s="24"/>
      <c r="K7" s="24"/>
      <c r="L7" s="24"/>
      <c r="M7" s="24"/>
      <c r="N7" s="24"/>
      <c r="O7" s="24"/>
      <c r="P7" s="25">
        <f t="shared" ref="P7:P14" si="1">SUM(B7:O7)</f>
        <v>6</v>
      </c>
    </row>
    <row r="8" spans="1:20" ht="20.25" customHeight="1" x14ac:dyDescent="0.25">
      <c r="A8" s="23" t="s">
        <v>28</v>
      </c>
      <c r="B8" s="24">
        <v>2.5</v>
      </c>
      <c r="C8" s="24">
        <v>3.5</v>
      </c>
      <c r="D8" s="24">
        <v>3</v>
      </c>
      <c r="E8" s="24">
        <v>4.5</v>
      </c>
      <c r="F8" s="24"/>
      <c r="G8" s="24"/>
      <c r="H8" s="24"/>
      <c r="I8" s="24"/>
      <c r="J8" s="24"/>
      <c r="K8" s="24"/>
      <c r="L8" s="24"/>
      <c r="M8" s="24"/>
      <c r="N8" s="24"/>
      <c r="O8" s="24"/>
      <c r="P8" s="25">
        <f t="shared" si="1"/>
        <v>13.5</v>
      </c>
    </row>
    <row r="9" spans="1:20" ht="20.25" customHeight="1" x14ac:dyDescent="0.25">
      <c r="A9" s="23" t="s">
        <v>20</v>
      </c>
      <c r="B9" s="24">
        <v>1.5</v>
      </c>
      <c r="C9" s="24">
        <v>2</v>
      </c>
      <c r="D9" s="24">
        <v>0.75</v>
      </c>
      <c r="E9" s="24">
        <v>0.25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5">
        <f t="shared" si="1"/>
        <v>4.5</v>
      </c>
    </row>
    <row r="10" spans="1:20" ht="20.25" customHeight="1" x14ac:dyDescent="0.25">
      <c r="A10" s="23" t="s">
        <v>19</v>
      </c>
      <c r="B10" s="24">
        <v>1.75</v>
      </c>
      <c r="C10" s="24">
        <v>0.5</v>
      </c>
      <c r="D10" s="24"/>
      <c r="E10" s="24"/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2.25</v>
      </c>
    </row>
    <row r="11" spans="1:20" ht="20.25" customHeight="1" x14ac:dyDescent="0.25">
      <c r="A11" s="23" t="s">
        <v>52</v>
      </c>
      <c r="B11" s="24">
        <v>1</v>
      </c>
      <c r="C11" s="24"/>
      <c r="D11" s="24">
        <v>1.5</v>
      </c>
      <c r="E11" s="24">
        <v>1.5</v>
      </c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>
        <f t="shared" si="1"/>
        <v>4</v>
      </c>
    </row>
    <row r="12" spans="1:20" ht="20.25" customHeight="1" x14ac:dyDescent="0.25">
      <c r="A12" s="23" t="s">
        <v>29</v>
      </c>
      <c r="B12" s="24"/>
      <c r="C12" s="24">
        <v>1</v>
      </c>
      <c r="D12" s="24"/>
      <c r="E12" s="24"/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5">
        <f t="shared" si="1"/>
        <v>1</v>
      </c>
    </row>
    <row r="13" spans="1:20" ht="20.25" customHeight="1" x14ac:dyDescent="0.25">
      <c r="A13" s="23" t="s">
        <v>27</v>
      </c>
      <c r="B13" s="24"/>
      <c r="C13" s="24"/>
      <c r="D13" s="24"/>
      <c r="E13" s="24"/>
      <c r="F13" s="24">
        <v>8</v>
      </c>
      <c r="G13" s="24"/>
      <c r="H13" s="24"/>
      <c r="I13" s="24">
        <v>8</v>
      </c>
      <c r="J13" s="24">
        <v>8</v>
      </c>
      <c r="K13" s="24">
        <v>8</v>
      </c>
      <c r="L13" s="24">
        <v>8</v>
      </c>
      <c r="M13" s="24">
        <v>8</v>
      </c>
      <c r="N13" s="24"/>
      <c r="O13" s="24"/>
      <c r="P13" s="25">
        <f t="shared" si="1"/>
        <v>48</v>
      </c>
    </row>
    <row r="14" spans="1:20" ht="20.25" customHeight="1" x14ac:dyDescent="0.25">
      <c r="A14" s="23" t="s">
        <v>18</v>
      </c>
      <c r="B14" s="24"/>
      <c r="C14" s="24">
        <v>0.5</v>
      </c>
      <c r="D14" s="24"/>
      <c r="E14" s="24">
        <v>0.25</v>
      </c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5">
        <f t="shared" si="1"/>
        <v>0.75</v>
      </c>
    </row>
    <row r="15" spans="1:20" ht="20.25" customHeight="1" x14ac:dyDescent="0.2">
      <c r="A15" s="15" t="s">
        <v>38</v>
      </c>
      <c r="B15" s="14">
        <f t="shared" ref="B15:P15" si="2">SUM(B7:B14)</f>
        <v>8</v>
      </c>
      <c r="C15" s="14">
        <f t="shared" si="2"/>
        <v>8</v>
      </c>
      <c r="D15" s="14">
        <f t="shared" si="2"/>
        <v>8</v>
      </c>
      <c r="E15" s="14">
        <f t="shared" si="2"/>
        <v>8</v>
      </c>
      <c r="F15" s="14">
        <f t="shared" si="2"/>
        <v>8</v>
      </c>
      <c r="G15" s="14">
        <f t="shared" si="2"/>
        <v>0</v>
      </c>
      <c r="H15" s="14">
        <f t="shared" si="2"/>
        <v>0</v>
      </c>
      <c r="I15" s="14">
        <f t="shared" si="2"/>
        <v>8</v>
      </c>
      <c r="J15" s="14">
        <f t="shared" si="2"/>
        <v>8</v>
      </c>
      <c r="K15" s="14">
        <f t="shared" si="2"/>
        <v>8</v>
      </c>
      <c r="L15" s="14">
        <f t="shared" si="2"/>
        <v>8</v>
      </c>
      <c r="M15" s="14">
        <f t="shared" si="2"/>
        <v>8</v>
      </c>
      <c r="N15" s="14">
        <f t="shared" si="2"/>
        <v>0</v>
      </c>
      <c r="O15" s="14">
        <f t="shared" si="2"/>
        <v>0</v>
      </c>
      <c r="P15" s="14">
        <f t="shared" si="2"/>
        <v>80</v>
      </c>
    </row>
    <row r="16" spans="1:20" ht="20.25" customHeight="1" x14ac:dyDescent="0.25">
      <c r="A16"/>
      <c r="B16"/>
      <c r="C16"/>
      <c r="D16"/>
      <c r="E16"/>
      <c r="F16"/>
      <c r="G16" s="23" t="s">
        <v>59</v>
      </c>
      <c r="H16" s="14">
        <f>SUM(B15:H15)</f>
        <v>40</v>
      </c>
      <c r="I16"/>
      <c r="J16"/>
      <c r="K16"/>
      <c r="L16"/>
      <c r="M16"/>
      <c r="N16" s="23" t="s">
        <v>60</v>
      </c>
      <c r="O16" s="14">
        <f>SUM(I15:O15)</f>
        <v>40</v>
      </c>
      <c r="P16"/>
      <c r="Q16"/>
      <c r="R16"/>
      <c r="S16"/>
      <c r="T16"/>
    </row>
    <row r="17" spans="1:20" ht="20.25" customHeight="1" x14ac:dyDescent="0.2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</sheetData>
  <sortState ref="A7:P14">
    <sortCondition ref="A7:A14"/>
  </sortState>
  <dataConsolidate/>
  <conditionalFormatting sqref="B15:F15 I15:M15">
    <cfRule type="cellIs" dxfId="118" priority="6" operator="greaterThan">
      <formula>8</formula>
    </cfRule>
    <cfRule type="cellIs" dxfId="117" priority="183" operator="equal">
      <formula>8</formula>
    </cfRule>
  </conditionalFormatting>
  <conditionalFormatting sqref="P7:P14">
    <cfRule type="cellIs" dxfId="116" priority="5" operator="greaterThan">
      <formula>80</formula>
    </cfRule>
  </conditionalFormatting>
  <conditionalFormatting sqref="P15">
    <cfRule type="cellIs" dxfId="115" priority="4" operator="greaterThan">
      <formula>80</formula>
    </cfRule>
    <cfRule type="cellIs" dxfId="114" priority="184" operator="equal">
      <formula>80</formula>
    </cfRule>
  </conditionalFormatting>
  <conditionalFormatting sqref="H16">
    <cfRule type="cellIs" dxfId="113" priority="3" operator="greaterThan">
      <formula>40</formula>
    </cfRule>
    <cfRule type="cellIs" dxfId="112" priority="185" operator="equal">
      <formula>40</formula>
    </cfRule>
  </conditionalFormatting>
  <conditionalFormatting sqref="O16">
    <cfRule type="cellIs" dxfId="111" priority="2" operator="greaterThan">
      <formula>40</formula>
    </cfRule>
    <cfRule type="cellIs" dxfId="110" priority="186" operator="equal">
      <formula>40</formula>
    </cfRule>
  </conditionalFormatting>
  <conditionalFormatting sqref="G15:H15 N15:O15">
    <cfRule type="cellIs" dxfId="10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52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5297" r:id="rId4" name="btnAddActivity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/>
  <dimension ref="A1:T219"/>
  <sheetViews>
    <sheetView workbookViewId="0">
      <selection activeCell="A6" sqref="A6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March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INDEX(Refs!D:D,MATCH('FY13-05'!B1 &amp; 'FY13-05'!B2,Refs!K:K,0))</f>
        <v>41323</v>
      </c>
      <c r="C5" s="12">
        <f>B5+1</f>
        <v>41324</v>
      </c>
      <c r="D5" s="12">
        <f t="shared" ref="D5:O5" si="0">C5+1</f>
        <v>41325</v>
      </c>
      <c r="E5" s="12">
        <f t="shared" si="0"/>
        <v>41326</v>
      </c>
      <c r="F5" s="12">
        <f t="shared" si="0"/>
        <v>41327</v>
      </c>
      <c r="G5" s="12">
        <f t="shared" si="0"/>
        <v>41328</v>
      </c>
      <c r="H5" s="12">
        <f t="shared" si="0"/>
        <v>41329</v>
      </c>
      <c r="I5" s="12">
        <f t="shared" si="0"/>
        <v>41330</v>
      </c>
      <c r="J5" s="12">
        <f t="shared" si="0"/>
        <v>41331</v>
      </c>
      <c r="K5" s="12">
        <f t="shared" si="0"/>
        <v>41332</v>
      </c>
      <c r="L5" s="12">
        <f t="shared" si="0"/>
        <v>41333</v>
      </c>
      <c r="M5" s="12">
        <f t="shared" si="0"/>
        <v>41334</v>
      </c>
      <c r="N5" s="12">
        <f t="shared" si="0"/>
        <v>41335</v>
      </c>
      <c r="O5" s="12">
        <f t="shared" si="0"/>
        <v>41336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1</v>
      </c>
      <c r="C7" s="24">
        <v>0.75</v>
      </c>
      <c r="D7" s="24"/>
      <c r="E7" s="24">
        <v>2.5</v>
      </c>
      <c r="F7" s="24">
        <v>3</v>
      </c>
      <c r="G7" s="24"/>
      <c r="H7" s="24"/>
      <c r="I7" s="24">
        <v>2.25</v>
      </c>
      <c r="J7" s="24">
        <v>1</v>
      </c>
      <c r="K7" s="24"/>
      <c r="L7" s="24"/>
      <c r="M7" s="24"/>
      <c r="N7" s="24"/>
      <c r="O7" s="24"/>
      <c r="P7" s="25">
        <f t="shared" ref="P7:P18" si="1">SUM(B7:O7)</f>
        <v>10.5</v>
      </c>
    </row>
    <row r="8" spans="1:16" ht="20.25" customHeight="1" x14ac:dyDescent="0.25">
      <c r="A8" s="23" t="s">
        <v>28</v>
      </c>
      <c r="B8" s="24">
        <v>5</v>
      </c>
      <c r="C8" s="24">
        <v>3.25</v>
      </c>
      <c r="D8" s="24">
        <v>1.5</v>
      </c>
      <c r="E8" s="24">
        <v>2.5</v>
      </c>
      <c r="F8" s="24">
        <v>1</v>
      </c>
      <c r="G8" s="24"/>
      <c r="H8" s="24"/>
      <c r="I8" s="24">
        <v>2</v>
      </c>
      <c r="J8" s="24">
        <v>4.75</v>
      </c>
      <c r="K8" s="24"/>
      <c r="L8" s="24"/>
      <c r="M8" s="24">
        <v>2.5</v>
      </c>
      <c r="N8" s="24"/>
      <c r="O8" s="24"/>
      <c r="P8" s="25">
        <f t="shared" si="1"/>
        <v>22.5</v>
      </c>
    </row>
    <row r="9" spans="1:16" ht="20.25" customHeight="1" x14ac:dyDescent="0.25">
      <c r="A9" s="23" t="s">
        <v>26</v>
      </c>
      <c r="B9" s="24"/>
      <c r="C9" s="24"/>
      <c r="D9" s="24"/>
      <c r="E9" s="24"/>
      <c r="F9" s="24"/>
      <c r="G9" s="24"/>
      <c r="H9" s="24"/>
      <c r="I9" s="24"/>
      <c r="J9" s="24"/>
      <c r="K9" s="24"/>
      <c r="L9" s="24"/>
      <c r="M9" s="24">
        <v>1.25</v>
      </c>
      <c r="N9" s="24"/>
      <c r="O9" s="24"/>
      <c r="P9" s="25">
        <f t="shared" si="1"/>
        <v>1.25</v>
      </c>
    </row>
    <row r="10" spans="1:16" ht="20.25" customHeight="1" x14ac:dyDescent="0.25">
      <c r="A10" s="23" t="s">
        <v>20</v>
      </c>
      <c r="B10" s="24"/>
      <c r="C10" s="24">
        <v>1.75</v>
      </c>
      <c r="D10" s="24">
        <v>0.75</v>
      </c>
      <c r="E10" s="24"/>
      <c r="F10" s="24"/>
      <c r="G10" s="24"/>
      <c r="H10" s="24"/>
      <c r="I10" s="24">
        <v>4</v>
      </c>
      <c r="J10" s="24"/>
      <c r="K10" s="24">
        <v>2</v>
      </c>
      <c r="L10" s="24"/>
      <c r="M10" s="24"/>
      <c r="N10" s="24"/>
      <c r="O10" s="24"/>
      <c r="P10" s="25">
        <f t="shared" si="1"/>
        <v>8.5</v>
      </c>
    </row>
    <row r="11" spans="1:16" ht="20.25" customHeight="1" x14ac:dyDescent="0.25">
      <c r="A11" s="23" t="s">
        <v>21</v>
      </c>
      <c r="B11" s="24">
        <v>1.5</v>
      </c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>
        <f t="shared" si="1"/>
        <v>1.5</v>
      </c>
    </row>
    <row r="12" spans="1:16" ht="20.25" customHeight="1" x14ac:dyDescent="0.25">
      <c r="A12" s="23" t="s">
        <v>19</v>
      </c>
      <c r="B12" s="24"/>
      <c r="C12" s="24">
        <v>0.25</v>
      </c>
      <c r="D12" s="24"/>
      <c r="E12" s="24"/>
      <c r="F12" s="24">
        <v>0.5</v>
      </c>
      <c r="G12" s="24"/>
      <c r="H12" s="24"/>
      <c r="I12" s="24"/>
      <c r="J12" s="24"/>
      <c r="K12" s="24">
        <v>0.5</v>
      </c>
      <c r="L12" s="24"/>
      <c r="M12" s="24"/>
      <c r="N12" s="24"/>
      <c r="O12" s="24"/>
      <c r="P12" s="25">
        <f t="shared" si="1"/>
        <v>1.25</v>
      </c>
    </row>
    <row r="13" spans="1:16" ht="20.25" customHeight="1" x14ac:dyDescent="0.25">
      <c r="A13" s="23" t="s">
        <v>52</v>
      </c>
      <c r="B13" s="24"/>
      <c r="C13" s="24">
        <v>2</v>
      </c>
      <c r="D13" s="24">
        <v>3.75</v>
      </c>
      <c r="E13" s="24">
        <v>1.5</v>
      </c>
      <c r="F13" s="24">
        <v>3.5</v>
      </c>
      <c r="G13" s="24"/>
      <c r="H13" s="24"/>
      <c r="I13" s="24">
        <v>1</v>
      </c>
      <c r="J13" s="24">
        <v>1.25</v>
      </c>
      <c r="K13" s="24">
        <v>3</v>
      </c>
      <c r="L13" s="24"/>
      <c r="M13" s="24">
        <v>2.25</v>
      </c>
      <c r="N13" s="24"/>
      <c r="O13" s="24"/>
      <c r="P13" s="25">
        <f t="shared" si="1"/>
        <v>18.25</v>
      </c>
    </row>
    <row r="14" spans="1:16" ht="20.25" customHeight="1" x14ac:dyDescent="0.25">
      <c r="A14" s="23" t="s">
        <v>42</v>
      </c>
      <c r="B14" s="24">
        <v>1.75</v>
      </c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5">
        <f t="shared" si="1"/>
        <v>1.75</v>
      </c>
    </row>
    <row r="15" spans="1:16" ht="20.25" customHeight="1" x14ac:dyDescent="0.25">
      <c r="A15" s="23" t="s">
        <v>29</v>
      </c>
      <c r="B15" s="24"/>
      <c r="C15" s="24"/>
      <c r="D15" s="24"/>
      <c r="E15" s="24"/>
      <c r="F15" s="24"/>
      <c r="G15" s="24"/>
      <c r="H15" s="24"/>
      <c r="I15" s="24"/>
      <c r="J15" s="24">
        <v>0.5</v>
      </c>
      <c r="K15" s="24">
        <v>2.5</v>
      </c>
      <c r="L15" s="24"/>
      <c r="M15" s="24"/>
      <c r="N15" s="24"/>
      <c r="O15" s="24"/>
      <c r="P15" s="25">
        <f t="shared" si="1"/>
        <v>3</v>
      </c>
    </row>
    <row r="16" spans="1:16" ht="20.25" customHeight="1" x14ac:dyDescent="0.25">
      <c r="A16" s="23" t="s">
        <v>27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>
        <v>8</v>
      </c>
      <c r="M16" s="24"/>
      <c r="N16" s="24"/>
      <c r="O16" s="24"/>
      <c r="P16" s="25">
        <f t="shared" si="1"/>
        <v>8</v>
      </c>
    </row>
    <row r="17" spans="1:20" ht="20.25" customHeight="1" x14ac:dyDescent="0.25">
      <c r="A17" s="23" t="s">
        <v>23</v>
      </c>
      <c r="B17" s="24"/>
      <c r="C17" s="24"/>
      <c r="D17" s="24"/>
      <c r="E17" s="24"/>
      <c r="F17" s="24"/>
      <c r="G17" s="24"/>
      <c r="H17" s="24"/>
      <c r="I17" s="24">
        <v>3.25</v>
      </c>
      <c r="J17" s="24"/>
      <c r="K17" s="24"/>
      <c r="L17" s="24"/>
      <c r="M17" s="24"/>
      <c r="N17" s="24"/>
      <c r="O17" s="24"/>
      <c r="P17" s="25">
        <f t="shared" si="1"/>
        <v>3.25</v>
      </c>
    </row>
    <row r="18" spans="1:20" ht="20.25" customHeight="1" x14ac:dyDescent="0.25">
      <c r="A18" s="23" t="s">
        <v>18</v>
      </c>
      <c r="B18" s="24"/>
      <c r="C18" s="24"/>
      <c r="D18" s="24">
        <v>2</v>
      </c>
      <c r="E18" s="24">
        <v>1.5</v>
      </c>
      <c r="F18" s="24"/>
      <c r="G18" s="24"/>
      <c r="H18" s="24"/>
      <c r="I18" s="24">
        <v>1.25</v>
      </c>
      <c r="J18" s="24">
        <v>0.5</v>
      </c>
      <c r="K18" s="24"/>
      <c r="L18" s="24"/>
      <c r="M18" s="24">
        <v>2</v>
      </c>
      <c r="N18" s="24"/>
      <c r="O18" s="24"/>
      <c r="P18" s="25">
        <f t="shared" si="1"/>
        <v>7.25</v>
      </c>
    </row>
    <row r="19" spans="1:20" ht="20.25" customHeight="1" x14ac:dyDescent="0.2">
      <c r="A19" s="15" t="s">
        <v>38</v>
      </c>
      <c r="B19" s="14">
        <f t="shared" ref="B19:P19" si="2">SUM(B7:B18)</f>
        <v>9.25</v>
      </c>
      <c r="C19" s="14">
        <f t="shared" si="2"/>
        <v>8</v>
      </c>
      <c r="D19" s="14">
        <f t="shared" si="2"/>
        <v>8</v>
      </c>
      <c r="E19" s="14">
        <f t="shared" si="2"/>
        <v>8</v>
      </c>
      <c r="F19" s="14">
        <f t="shared" si="2"/>
        <v>8</v>
      </c>
      <c r="G19" s="14">
        <f t="shared" si="2"/>
        <v>0</v>
      </c>
      <c r="H19" s="14">
        <f t="shared" si="2"/>
        <v>0</v>
      </c>
      <c r="I19" s="14">
        <f t="shared" si="2"/>
        <v>13.75</v>
      </c>
      <c r="J19" s="14">
        <f t="shared" si="2"/>
        <v>8</v>
      </c>
      <c r="K19" s="14">
        <f t="shared" si="2"/>
        <v>8</v>
      </c>
      <c r="L19" s="14">
        <f t="shared" si="2"/>
        <v>8</v>
      </c>
      <c r="M19" s="14">
        <f t="shared" si="2"/>
        <v>8</v>
      </c>
      <c r="N19" s="14">
        <f t="shared" si="2"/>
        <v>0</v>
      </c>
      <c r="O19" s="14">
        <f t="shared" si="2"/>
        <v>0</v>
      </c>
      <c r="P19" s="14">
        <f t="shared" si="2"/>
        <v>87</v>
      </c>
    </row>
    <row r="20" spans="1:20" ht="20.25" customHeight="1" x14ac:dyDescent="0.25">
      <c r="A20"/>
      <c r="B20"/>
      <c r="C20"/>
      <c r="D20"/>
      <c r="E20"/>
      <c r="F20"/>
      <c r="G20" s="23" t="s">
        <v>59</v>
      </c>
      <c r="H20" s="14">
        <f>SUM(B19:H19)</f>
        <v>41.25</v>
      </c>
      <c r="I20"/>
      <c r="J20"/>
      <c r="K20"/>
      <c r="L20"/>
      <c r="M20"/>
      <c r="N20" s="23" t="s">
        <v>60</v>
      </c>
      <c r="O20" s="14">
        <f>SUM(I19:O19)</f>
        <v>45.75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dataConsolidate/>
  <conditionalFormatting sqref="G19:H19 N19:O19">
    <cfRule type="cellIs" dxfId="108" priority="1" operator="greaterThan">
      <formula>8</formula>
    </cfRule>
  </conditionalFormatting>
  <conditionalFormatting sqref="B19:F19 I19:M19">
    <cfRule type="cellIs" dxfId="107" priority="6" operator="greaterThan">
      <formula>8</formula>
    </cfRule>
    <cfRule type="cellIs" dxfId="106" priority="327" operator="equal">
      <formula>8</formula>
    </cfRule>
  </conditionalFormatting>
  <conditionalFormatting sqref="P7:P18">
    <cfRule type="cellIs" dxfId="105" priority="5" operator="greaterThan">
      <formula>80</formula>
    </cfRule>
  </conditionalFormatting>
  <conditionalFormatting sqref="P19">
    <cfRule type="cellIs" dxfId="104" priority="4" operator="greaterThan">
      <formula>80</formula>
    </cfRule>
    <cfRule type="cellIs" dxfId="103" priority="328" operator="equal">
      <formula>80</formula>
    </cfRule>
  </conditionalFormatting>
  <conditionalFormatting sqref="H20">
    <cfRule type="cellIs" dxfId="102" priority="3" operator="greaterThan">
      <formula>40</formula>
    </cfRule>
    <cfRule type="cellIs" dxfId="101" priority="329" operator="equal">
      <formula>40</formula>
    </cfRule>
  </conditionalFormatting>
  <conditionalFormatting sqref="O20">
    <cfRule type="cellIs" dxfId="100" priority="2" operator="greaterThan">
      <formula>40</formula>
    </cfRule>
    <cfRule type="cellIs" dxfId="99" priority="330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632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6321" r:id="rId4" name="btnAddActivity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/>
  <dimension ref="A1:T219"/>
  <sheetViews>
    <sheetView workbookViewId="0">
      <selection activeCell="A16" sqref="A16:J16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INDEX(Refs!D:D,MATCH('FY13-04'!B1 &amp; 'FY13-04'!B2,Refs!K:K,0))</f>
        <v>41309</v>
      </c>
      <c r="C5" s="12">
        <f>B5+1</f>
        <v>41310</v>
      </c>
      <c r="D5" s="12">
        <f t="shared" ref="D5:O5" si="0">C5+1</f>
        <v>41311</v>
      </c>
      <c r="E5" s="12">
        <f t="shared" si="0"/>
        <v>41312</v>
      </c>
      <c r="F5" s="12">
        <f t="shared" si="0"/>
        <v>41313</v>
      </c>
      <c r="G5" s="12">
        <f t="shared" si="0"/>
        <v>41314</v>
      </c>
      <c r="H5" s="12">
        <f t="shared" si="0"/>
        <v>41315</v>
      </c>
      <c r="I5" s="12">
        <f t="shared" si="0"/>
        <v>41316</v>
      </c>
      <c r="J5" s="12">
        <f t="shared" si="0"/>
        <v>41317</v>
      </c>
      <c r="K5" s="12">
        <f t="shared" si="0"/>
        <v>41318</v>
      </c>
      <c r="L5" s="12">
        <f t="shared" si="0"/>
        <v>41319</v>
      </c>
      <c r="M5" s="12">
        <f t="shared" si="0"/>
        <v>41320</v>
      </c>
      <c r="N5" s="12">
        <f t="shared" si="0"/>
        <v>41321</v>
      </c>
      <c r="O5" s="12">
        <f t="shared" si="0"/>
        <v>41322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2</v>
      </c>
      <c r="C7" s="24">
        <v>2</v>
      </c>
      <c r="D7" s="24">
        <v>1</v>
      </c>
      <c r="E7" s="24">
        <v>1.25</v>
      </c>
      <c r="F7" s="24">
        <v>3.25</v>
      </c>
      <c r="G7" s="24"/>
      <c r="H7" s="24"/>
      <c r="I7" s="24"/>
      <c r="J7" s="24">
        <v>2.5</v>
      </c>
      <c r="K7" s="24"/>
      <c r="L7" s="24">
        <v>0.5</v>
      </c>
      <c r="M7" s="24">
        <v>0.75</v>
      </c>
      <c r="N7" s="24"/>
      <c r="O7" s="24"/>
      <c r="P7" s="25">
        <f t="shared" ref="P7:P18" si="1">SUM(B7:O7)</f>
        <v>13.25</v>
      </c>
    </row>
    <row r="8" spans="1:16" ht="20.25" customHeight="1" x14ac:dyDescent="0.25">
      <c r="A8" s="23" t="s">
        <v>28</v>
      </c>
      <c r="B8" s="24">
        <v>3.5</v>
      </c>
      <c r="C8" s="24">
        <v>0.5</v>
      </c>
      <c r="D8" s="24">
        <v>2.5</v>
      </c>
      <c r="E8" s="24">
        <v>1.5</v>
      </c>
      <c r="F8" s="24">
        <v>2.25</v>
      </c>
      <c r="G8" s="24"/>
      <c r="H8" s="24"/>
      <c r="I8" s="24">
        <v>2.25</v>
      </c>
      <c r="J8" s="24">
        <v>2.75</v>
      </c>
      <c r="K8" s="24">
        <v>2.75</v>
      </c>
      <c r="L8" s="24">
        <v>4.25</v>
      </c>
      <c r="M8" s="24">
        <v>1.5</v>
      </c>
      <c r="N8" s="24"/>
      <c r="O8" s="24"/>
      <c r="P8" s="25">
        <f t="shared" si="1"/>
        <v>23.75</v>
      </c>
    </row>
    <row r="9" spans="1:16" ht="20.25" customHeight="1" x14ac:dyDescent="0.25">
      <c r="A9" s="23" t="s">
        <v>25</v>
      </c>
      <c r="B9" s="24"/>
      <c r="C9" s="24"/>
      <c r="D9" s="24"/>
      <c r="E9" s="24"/>
      <c r="F9" s="24"/>
      <c r="G9" s="24"/>
      <c r="H9" s="24"/>
      <c r="I9" s="24">
        <v>1.5</v>
      </c>
      <c r="J9" s="24"/>
      <c r="K9" s="24"/>
      <c r="L9" s="24"/>
      <c r="M9" s="24"/>
      <c r="N9" s="24"/>
      <c r="O9" s="24"/>
      <c r="P9" s="25">
        <f t="shared" si="1"/>
        <v>1.5</v>
      </c>
    </row>
    <row r="10" spans="1:16" ht="20.25" customHeight="1" x14ac:dyDescent="0.25">
      <c r="A10" s="23" t="s">
        <v>26</v>
      </c>
      <c r="B10" s="24"/>
      <c r="C10" s="24">
        <v>2.5</v>
      </c>
      <c r="D10" s="24">
        <v>1.25</v>
      </c>
      <c r="E10" s="24"/>
      <c r="F10" s="24"/>
      <c r="G10" s="24"/>
      <c r="H10" s="24"/>
      <c r="I10" s="24"/>
      <c r="J10" s="24">
        <v>1.25</v>
      </c>
      <c r="K10" s="24"/>
      <c r="L10" s="24"/>
      <c r="M10" s="24"/>
      <c r="N10" s="24"/>
      <c r="O10" s="24"/>
      <c r="P10" s="25">
        <f t="shared" si="1"/>
        <v>5</v>
      </c>
    </row>
    <row r="11" spans="1:16" ht="20.25" customHeight="1" x14ac:dyDescent="0.25">
      <c r="A11" s="23" t="s">
        <v>20</v>
      </c>
      <c r="B11" s="24">
        <v>1.75</v>
      </c>
      <c r="C11" s="24">
        <v>2.25</v>
      </c>
      <c r="D11" s="24">
        <v>1.25</v>
      </c>
      <c r="E11" s="24">
        <v>1.75</v>
      </c>
      <c r="F11" s="24"/>
      <c r="G11" s="24"/>
      <c r="H11" s="24"/>
      <c r="I11" s="24">
        <v>2</v>
      </c>
      <c r="J11" s="24"/>
      <c r="K11" s="24">
        <v>2.5</v>
      </c>
      <c r="L11" s="24">
        <v>1</v>
      </c>
      <c r="M11" s="24">
        <v>0.75</v>
      </c>
      <c r="N11" s="24"/>
      <c r="O11" s="24"/>
      <c r="P11" s="25">
        <f t="shared" si="1"/>
        <v>13.25</v>
      </c>
    </row>
    <row r="12" spans="1:16" ht="20.25" customHeight="1" x14ac:dyDescent="0.25">
      <c r="A12" s="23" t="s">
        <v>21</v>
      </c>
      <c r="B12" s="24"/>
      <c r="C12" s="24"/>
      <c r="D12" s="24"/>
      <c r="E12" s="24">
        <v>3.25</v>
      </c>
      <c r="F12" s="24"/>
      <c r="G12" s="24"/>
      <c r="H12" s="24"/>
      <c r="I12" s="24"/>
      <c r="J12" s="24"/>
      <c r="K12" s="24"/>
      <c r="L12" s="24"/>
      <c r="M12" s="24">
        <v>4.5</v>
      </c>
      <c r="N12" s="24"/>
      <c r="O12" s="24"/>
      <c r="P12" s="25">
        <f t="shared" si="1"/>
        <v>7.75</v>
      </c>
    </row>
    <row r="13" spans="1:16" ht="20.25" customHeight="1" x14ac:dyDescent="0.25">
      <c r="A13" s="23" t="s">
        <v>19</v>
      </c>
      <c r="B13" s="24">
        <v>0.75</v>
      </c>
      <c r="C13" s="24"/>
      <c r="D13" s="24"/>
      <c r="E13" s="24"/>
      <c r="F13" s="24">
        <v>0.75</v>
      </c>
      <c r="G13" s="24"/>
      <c r="H13" s="24"/>
      <c r="I13" s="24">
        <v>1.5</v>
      </c>
      <c r="J13" s="24"/>
      <c r="K13" s="24">
        <v>0.25</v>
      </c>
      <c r="L13" s="24"/>
      <c r="M13" s="24"/>
      <c r="N13" s="24"/>
      <c r="O13" s="24"/>
      <c r="P13" s="25">
        <f t="shared" si="1"/>
        <v>3.25</v>
      </c>
    </row>
    <row r="14" spans="1:16" ht="20.25" customHeight="1" x14ac:dyDescent="0.25">
      <c r="A14" s="23" t="s">
        <v>52</v>
      </c>
      <c r="B14" s="24"/>
      <c r="C14" s="24"/>
      <c r="D14" s="24"/>
      <c r="E14" s="24"/>
      <c r="F14" s="24">
        <v>1.75</v>
      </c>
      <c r="G14" s="24"/>
      <c r="H14" s="24"/>
      <c r="I14" s="24">
        <v>0.25</v>
      </c>
      <c r="J14" s="24">
        <v>0.75</v>
      </c>
      <c r="K14" s="24"/>
      <c r="L14" s="24">
        <v>1</v>
      </c>
      <c r="M14" s="24"/>
      <c r="N14" s="24"/>
      <c r="O14" s="24"/>
      <c r="P14" s="25">
        <f t="shared" si="1"/>
        <v>3.75</v>
      </c>
    </row>
    <row r="15" spans="1:16" ht="20.25" customHeight="1" x14ac:dyDescent="0.25">
      <c r="A15" s="23" t="s">
        <v>42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>
        <v>5.75</v>
      </c>
      <c r="O15" s="24"/>
      <c r="P15" s="25">
        <f t="shared" si="1"/>
        <v>5.75</v>
      </c>
    </row>
    <row r="16" spans="1:16" ht="20.25" customHeight="1" x14ac:dyDescent="0.25">
      <c r="A16" s="23" t="s">
        <v>27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>
        <v>-2</v>
      </c>
      <c r="N16" s="24"/>
      <c r="O16" s="24"/>
      <c r="P16" s="25">
        <f t="shared" si="1"/>
        <v>-2</v>
      </c>
    </row>
    <row r="17" spans="1:20" ht="20.25" customHeight="1" x14ac:dyDescent="0.25">
      <c r="A17" s="23" t="s">
        <v>23</v>
      </c>
      <c r="B17" s="24"/>
      <c r="C17" s="24"/>
      <c r="D17" s="24">
        <v>2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5">
        <f t="shared" si="1"/>
        <v>2</v>
      </c>
    </row>
    <row r="18" spans="1:20" ht="20.25" customHeight="1" x14ac:dyDescent="0.25">
      <c r="A18" s="23" t="s">
        <v>18</v>
      </c>
      <c r="B18" s="24"/>
      <c r="C18" s="24">
        <v>0.75</v>
      </c>
      <c r="D18" s="24"/>
      <c r="E18" s="24">
        <v>0.25</v>
      </c>
      <c r="F18" s="24"/>
      <c r="G18" s="24"/>
      <c r="H18" s="24"/>
      <c r="I18" s="24">
        <v>0.5</v>
      </c>
      <c r="J18" s="24">
        <v>0.75</v>
      </c>
      <c r="K18" s="24">
        <v>2.5</v>
      </c>
      <c r="L18" s="24">
        <v>1.25</v>
      </c>
      <c r="M18" s="24">
        <v>1.5</v>
      </c>
      <c r="N18" s="24"/>
      <c r="O18" s="24"/>
      <c r="P18" s="25">
        <f t="shared" si="1"/>
        <v>7.5</v>
      </c>
    </row>
    <row r="19" spans="1:20" ht="20.25" customHeight="1" x14ac:dyDescent="0.2">
      <c r="A19" s="15" t="s">
        <v>38</v>
      </c>
      <c r="B19" s="14">
        <f t="shared" ref="B19:P19" si="2">SUM(B7:B18)</f>
        <v>8</v>
      </c>
      <c r="C19" s="14">
        <f t="shared" si="2"/>
        <v>8</v>
      </c>
      <c r="D19" s="14">
        <f t="shared" si="2"/>
        <v>8</v>
      </c>
      <c r="E19" s="14">
        <f t="shared" si="2"/>
        <v>8</v>
      </c>
      <c r="F19" s="14">
        <f t="shared" si="2"/>
        <v>8</v>
      </c>
      <c r="G19" s="14">
        <f t="shared" si="2"/>
        <v>0</v>
      </c>
      <c r="H19" s="14">
        <f t="shared" si="2"/>
        <v>0</v>
      </c>
      <c r="I19" s="14">
        <f t="shared" si="2"/>
        <v>8</v>
      </c>
      <c r="J19" s="14">
        <f t="shared" si="2"/>
        <v>8</v>
      </c>
      <c r="K19" s="14">
        <f t="shared" si="2"/>
        <v>8</v>
      </c>
      <c r="L19" s="14">
        <f t="shared" si="2"/>
        <v>8</v>
      </c>
      <c r="M19" s="14">
        <f t="shared" si="2"/>
        <v>7</v>
      </c>
      <c r="N19" s="14">
        <f t="shared" si="2"/>
        <v>5.75</v>
      </c>
      <c r="O19" s="14">
        <f t="shared" si="2"/>
        <v>0</v>
      </c>
      <c r="P19" s="14">
        <f t="shared" si="2"/>
        <v>84.75</v>
      </c>
    </row>
    <row r="20" spans="1:20" ht="20.25" customHeight="1" x14ac:dyDescent="0.25">
      <c r="A20" s="2"/>
      <c r="B20" s="2"/>
      <c r="C20" s="2"/>
      <c r="D20" s="2"/>
      <c r="E20" s="2"/>
      <c r="F20" s="2"/>
      <c r="G20" s="23" t="s">
        <v>59</v>
      </c>
      <c r="H20" s="14">
        <f>SUM(B19:H19)</f>
        <v>40</v>
      </c>
      <c r="I20" s="2"/>
      <c r="J20" s="2"/>
      <c r="K20" s="2"/>
      <c r="L20" s="2"/>
      <c r="M20" s="2"/>
      <c r="N20" s="23" t="s">
        <v>60</v>
      </c>
      <c r="O20" s="14">
        <f>SUM(I19:O19)</f>
        <v>44.75</v>
      </c>
      <c r="P20" s="2"/>
      <c r="Q20" s="2"/>
      <c r="R20" s="2"/>
      <c r="S20" s="2"/>
      <c r="T20" s="2"/>
    </row>
    <row r="21" spans="1:20" ht="20.2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1:20" ht="20.2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1:20" ht="20.2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1:20" ht="20.2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1:20" ht="20.2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1:20" ht="20.2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1:20" ht="20.2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1:20" ht="20.2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1:20" ht="20.2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1:20" ht="20.2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1:20" ht="20.2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1:20" ht="20.2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1:20" ht="20.2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1:20" ht="20.2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1:20" ht="20.2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1:20" ht="20.2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1:20" ht="20.2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1:20" ht="20.2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1:20" ht="20.2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1:20" ht="20.2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1:20" ht="20.2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1:20" ht="20.2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1:20" ht="20.2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1:20" ht="20.2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</row>
    <row r="45" spans="1:20" ht="20.2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</row>
    <row r="46" spans="1:20" ht="20.2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</row>
    <row r="47" spans="1:20" ht="20.2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</row>
    <row r="48" spans="1:20" ht="20.2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</row>
    <row r="49" spans="1:20" ht="20.2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</row>
    <row r="50" spans="1:20" ht="20.2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</row>
    <row r="51" spans="1:20" ht="20.2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</row>
    <row r="52" spans="1:20" ht="20.2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1:20" ht="20.2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1:20" ht="20.2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1:20" ht="20.2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1:20" ht="20.2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1:20" ht="20.2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1:20" ht="20.2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1:20" ht="20.2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1:20" ht="20.2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1:20" ht="20.2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1:20" ht="20.2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1:20" ht="20.2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1:20" ht="20.2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1:20" ht="20.2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1:20" ht="20.2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1:20" ht="20.2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1:20" ht="20.2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1:20" ht="20.2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1:20" ht="20.2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1:20" ht="20.2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2" spans="1:20" ht="20.2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</row>
    <row r="73" spans="1:20" ht="20.2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</row>
    <row r="74" spans="1:20" ht="20.25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</row>
    <row r="75" spans="1:20" ht="20.25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</row>
    <row r="76" spans="1:20" ht="20.25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</row>
    <row r="77" spans="1:20" ht="20.25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</row>
    <row r="78" spans="1:20" ht="20.25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</row>
    <row r="79" spans="1:20" ht="20.25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</row>
    <row r="80" spans="1:20" ht="20.25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</row>
    <row r="81" spans="1:20" ht="20.25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</row>
    <row r="82" spans="1:20" ht="20.25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</row>
    <row r="83" spans="1:20" ht="20.25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</row>
    <row r="84" spans="1:20" ht="20.25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</row>
    <row r="85" spans="1:20" ht="20.25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</row>
    <row r="86" spans="1:20" ht="20.25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</row>
    <row r="87" spans="1:20" ht="20.25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</row>
    <row r="88" spans="1:20" ht="20.25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</row>
    <row r="89" spans="1:20" ht="20.25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</row>
    <row r="90" spans="1:20" ht="20.25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</row>
    <row r="91" spans="1:20" ht="20.25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</row>
    <row r="92" spans="1:20" ht="20.25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</row>
    <row r="93" spans="1:20" ht="20.25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</row>
    <row r="94" spans="1:20" ht="20.25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</row>
    <row r="95" spans="1:20" ht="20.25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</row>
    <row r="96" spans="1:20" ht="20.25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</row>
    <row r="97" spans="1:20" ht="20.25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</row>
    <row r="98" spans="1:20" ht="20.25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</row>
    <row r="99" spans="1:20" ht="20.25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</row>
    <row r="100" spans="1:20" ht="20.25" customHeight="1" x14ac:dyDescent="0.2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</row>
    <row r="101" spans="1:20" ht="20.25" customHeight="1" x14ac:dyDescent="0.2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</row>
    <row r="102" spans="1:20" ht="20.25" customHeight="1" x14ac:dyDescent="0.2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</row>
    <row r="103" spans="1:20" ht="20.25" customHeight="1" x14ac:dyDescent="0.2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</row>
    <row r="104" spans="1:20" ht="20.25" customHeight="1" x14ac:dyDescent="0.2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</row>
    <row r="105" spans="1:20" ht="20.25" customHeight="1" x14ac:dyDescent="0.2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</row>
    <row r="106" spans="1:20" ht="20.25" customHeight="1" x14ac:dyDescent="0.2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</row>
    <row r="107" spans="1:20" ht="20.25" customHeight="1" x14ac:dyDescent="0.2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</row>
    <row r="108" spans="1:20" ht="20.25" customHeight="1" x14ac:dyDescent="0.2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</row>
    <row r="109" spans="1:20" ht="20.25" customHeight="1" x14ac:dyDescent="0.2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</row>
    <row r="110" spans="1:20" ht="20.25" customHeight="1" x14ac:dyDescent="0.2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</row>
    <row r="111" spans="1:20" ht="20.25" customHeight="1" x14ac:dyDescent="0.2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</row>
    <row r="112" spans="1:20" ht="20.25" customHeight="1" x14ac:dyDescent="0.2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  <c r="L112" s="2"/>
      <c r="M112" s="2"/>
      <c r="N112" s="2"/>
      <c r="O112" s="2"/>
      <c r="P112" s="2"/>
      <c r="Q112" s="2"/>
      <c r="R112" s="2"/>
      <c r="S112" s="2"/>
      <c r="T112" s="2"/>
    </row>
    <row r="113" spans="1:20" ht="20.25" customHeight="1" x14ac:dyDescent="0.2">
      <c r="A113" s="2"/>
      <c r="B113" s="2"/>
      <c r="C113" s="2"/>
      <c r="D113" s="2"/>
      <c r="E113" s="2"/>
      <c r="F113" s="2"/>
      <c r="G113" s="2"/>
      <c r="H113" s="2"/>
      <c r="I113" s="2"/>
      <c r="J113" s="2"/>
      <c r="K113" s="2"/>
      <c r="L113" s="2"/>
      <c r="M113" s="2"/>
      <c r="N113" s="2"/>
      <c r="O113" s="2"/>
      <c r="P113" s="2"/>
      <c r="Q113" s="2"/>
      <c r="R113" s="2"/>
      <c r="S113" s="2"/>
      <c r="T113" s="2"/>
    </row>
    <row r="114" spans="1:20" ht="20.25" customHeight="1" x14ac:dyDescent="0.2">
      <c r="A114" s="2"/>
      <c r="B114" s="2"/>
      <c r="C114" s="2"/>
      <c r="D114" s="2"/>
      <c r="E114" s="2"/>
      <c r="F114" s="2"/>
      <c r="G114" s="2"/>
      <c r="H114" s="2"/>
      <c r="I114" s="2"/>
      <c r="J114" s="2"/>
      <c r="K114" s="2"/>
      <c r="L114" s="2"/>
      <c r="M114" s="2"/>
      <c r="N114" s="2"/>
      <c r="O114" s="2"/>
      <c r="P114" s="2"/>
      <c r="Q114" s="2"/>
      <c r="R114" s="2"/>
      <c r="S114" s="2"/>
      <c r="T114" s="2"/>
    </row>
    <row r="115" spans="1:20" ht="20.25" customHeight="1" x14ac:dyDescent="0.2">
      <c r="A115" s="2"/>
      <c r="B115" s="2"/>
      <c r="C115" s="2"/>
      <c r="D115" s="2"/>
      <c r="E115" s="2"/>
      <c r="F115" s="2"/>
      <c r="G115" s="2"/>
      <c r="H115" s="2"/>
      <c r="I115" s="2"/>
      <c r="J115" s="2"/>
      <c r="K115" s="2"/>
      <c r="L115" s="2"/>
      <c r="M115" s="2"/>
      <c r="N115" s="2"/>
      <c r="O115" s="2"/>
      <c r="P115" s="2"/>
      <c r="Q115" s="2"/>
      <c r="R115" s="2"/>
      <c r="S115" s="2"/>
      <c r="T115" s="2"/>
    </row>
    <row r="116" spans="1:20" ht="20.25" customHeight="1" x14ac:dyDescent="0.2">
      <c r="A116" s="2"/>
      <c r="B116" s="2"/>
      <c r="C116" s="2"/>
      <c r="D116" s="2"/>
      <c r="E116" s="2"/>
      <c r="F116" s="2"/>
      <c r="G116" s="2"/>
      <c r="H116" s="2"/>
      <c r="I116" s="2"/>
      <c r="J116" s="2"/>
      <c r="K116" s="2"/>
      <c r="L116" s="2"/>
      <c r="M116" s="2"/>
      <c r="N116" s="2"/>
      <c r="O116" s="2"/>
      <c r="P116" s="2"/>
      <c r="Q116" s="2"/>
      <c r="R116" s="2"/>
      <c r="S116" s="2"/>
      <c r="T116" s="2"/>
    </row>
    <row r="117" spans="1:20" ht="20.25" customHeight="1" x14ac:dyDescent="0.2">
      <c r="A117" s="2"/>
      <c r="B117" s="2"/>
      <c r="C117" s="2"/>
      <c r="D117" s="2"/>
      <c r="E117" s="2"/>
      <c r="F117" s="2"/>
      <c r="G117" s="2"/>
      <c r="H117" s="2"/>
      <c r="I117" s="2"/>
      <c r="J117" s="2"/>
      <c r="K117" s="2"/>
      <c r="L117" s="2"/>
      <c r="M117" s="2"/>
      <c r="N117" s="2"/>
      <c r="O117" s="2"/>
      <c r="P117" s="2"/>
      <c r="Q117" s="2"/>
      <c r="R117" s="2"/>
      <c r="S117" s="2"/>
      <c r="T117" s="2"/>
    </row>
    <row r="118" spans="1:20" ht="20.25" customHeight="1" x14ac:dyDescent="0.2">
      <c r="A118" s="2"/>
      <c r="B118" s="2"/>
      <c r="C118" s="2"/>
      <c r="D118" s="2"/>
      <c r="E118" s="2"/>
      <c r="F118" s="2"/>
      <c r="G118" s="2"/>
      <c r="H118" s="2"/>
      <c r="I118" s="2"/>
      <c r="J118" s="2"/>
      <c r="K118" s="2"/>
      <c r="L118" s="2"/>
      <c r="M118" s="2"/>
      <c r="N118" s="2"/>
      <c r="O118" s="2"/>
      <c r="P118" s="2"/>
      <c r="Q118" s="2"/>
      <c r="R118" s="2"/>
      <c r="S118" s="2"/>
      <c r="T118" s="2"/>
    </row>
    <row r="119" spans="1:20" ht="20.25" customHeight="1" x14ac:dyDescent="0.2">
      <c r="A119" s="2"/>
      <c r="B119" s="2"/>
      <c r="C119" s="2"/>
      <c r="D119" s="2"/>
      <c r="E119" s="2"/>
      <c r="F119" s="2"/>
      <c r="G119" s="2"/>
      <c r="H119" s="2"/>
      <c r="I119" s="2"/>
      <c r="J119" s="2"/>
      <c r="K119" s="2"/>
      <c r="L119" s="2"/>
      <c r="M119" s="2"/>
      <c r="N119" s="2"/>
      <c r="O119" s="2"/>
      <c r="P119" s="2"/>
      <c r="Q119" s="2"/>
      <c r="R119" s="2"/>
      <c r="S119" s="2"/>
      <c r="T119" s="2"/>
    </row>
    <row r="120" spans="1:20" ht="20.25" customHeight="1" x14ac:dyDescent="0.2">
      <c r="A120" s="2"/>
      <c r="B120" s="2"/>
      <c r="C120" s="2"/>
      <c r="D120" s="2"/>
      <c r="E120" s="2"/>
      <c r="F120" s="2"/>
      <c r="G120" s="2"/>
      <c r="H120" s="2"/>
      <c r="I120" s="2"/>
      <c r="J120" s="2"/>
      <c r="K120" s="2"/>
      <c r="L120" s="2"/>
      <c r="M120" s="2"/>
      <c r="N120" s="2"/>
      <c r="O120" s="2"/>
      <c r="P120" s="2"/>
      <c r="Q120" s="2"/>
      <c r="R120" s="2"/>
      <c r="S120" s="2"/>
      <c r="T120" s="2"/>
    </row>
    <row r="121" spans="1:20" ht="20.25" customHeight="1" x14ac:dyDescent="0.2">
      <c r="A121" s="2"/>
      <c r="B121" s="2"/>
      <c r="C121" s="2"/>
      <c r="D121" s="2"/>
      <c r="E121" s="2"/>
      <c r="F121" s="2"/>
      <c r="G121" s="2"/>
      <c r="H121" s="2"/>
      <c r="I121" s="2"/>
      <c r="J121" s="2"/>
      <c r="K121" s="2"/>
      <c r="L121" s="2"/>
      <c r="M121" s="2"/>
      <c r="N121" s="2"/>
      <c r="O121" s="2"/>
      <c r="P121" s="2"/>
      <c r="Q121" s="2"/>
      <c r="R121" s="2"/>
      <c r="S121" s="2"/>
      <c r="T121" s="2"/>
    </row>
    <row r="122" spans="1:20" ht="20.25" customHeight="1" x14ac:dyDescent="0.2">
      <c r="A122" s="2"/>
      <c r="B122" s="2"/>
      <c r="C122" s="2"/>
      <c r="D122" s="2"/>
      <c r="E122" s="2"/>
      <c r="F122" s="2"/>
      <c r="G122" s="2"/>
      <c r="H122" s="2"/>
      <c r="I122" s="2"/>
      <c r="J122" s="2"/>
      <c r="K122" s="2"/>
      <c r="L122" s="2"/>
      <c r="M122" s="2"/>
      <c r="N122" s="2"/>
      <c r="O122" s="2"/>
      <c r="P122" s="2"/>
      <c r="Q122" s="2"/>
      <c r="R122" s="2"/>
      <c r="S122" s="2"/>
      <c r="T122" s="2"/>
    </row>
    <row r="123" spans="1:20" ht="20.25" customHeight="1" x14ac:dyDescent="0.2">
      <c r="A123" s="2"/>
      <c r="B123" s="2"/>
      <c r="C123" s="2"/>
      <c r="D123" s="2"/>
      <c r="E123" s="2"/>
      <c r="F123" s="2"/>
      <c r="G123" s="2"/>
      <c r="H123" s="2"/>
      <c r="I123" s="2"/>
      <c r="J123" s="2"/>
      <c r="K123" s="2"/>
      <c r="L123" s="2"/>
      <c r="M123" s="2"/>
      <c r="N123" s="2"/>
      <c r="O123" s="2"/>
      <c r="P123" s="2"/>
      <c r="Q123" s="2"/>
      <c r="R123" s="2"/>
      <c r="S123" s="2"/>
      <c r="T123" s="2"/>
    </row>
    <row r="124" spans="1:20" ht="20.25" customHeight="1" x14ac:dyDescent="0.2">
      <c r="A124" s="2"/>
      <c r="B124" s="2"/>
      <c r="C124" s="2"/>
      <c r="D124" s="2"/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/>
      <c r="P124" s="2"/>
      <c r="Q124" s="2"/>
      <c r="R124" s="2"/>
      <c r="S124" s="2"/>
      <c r="T124" s="2"/>
    </row>
    <row r="125" spans="1:20" ht="20.25" customHeight="1" x14ac:dyDescent="0.2">
      <c r="A125" s="2"/>
      <c r="B125" s="2"/>
      <c r="C125" s="2"/>
      <c r="D125" s="2"/>
      <c r="E125" s="2"/>
      <c r="F125" s="2"/>
      <c r="G125" s="2"/>
      <c r="H125" s="2"/>
      <c r="I125" s="2"/>
      <c r="J125" s="2"/>
      <c r="K125" s="2"/>
      <c r="L125" s="2"/>
      <c r="M125" s="2"/>
      <c r="N125" s="2"/>
      <c r="O125" s="2"/>
      <c r="P125" s="2"/>
      <c r="Q125" s="2"/>
      <c r="R125" s="2"/>
      <c r="S125" s="2"/>
      <c r="T125" s="2"/>
    </row>
    <row r="126" spans="1:20" ht="20.25" customHeight="1" x14ac:dyDescent="0.2">
      <c r="A126" s="2"/>
      <c r="B126" s="2"/>
      <c r="C126" s="2"/>
      <c r="D126" s="2"/>
      <c r="E126" s="2"/>
      <c r="F126" s="2"/>
      <c r="G126" s="2"/>
      <c r="H126" s="2"/>
      <c r="I126" s="2"/>
      <c r="J126" s="2"/>
      <c r="K126" s="2"/>
      <c r="L126" s="2"/>
      <c r="M126" s="2"/>
      <c r="N126" s="2"/>
      <c r="O126" s="2"/>
      <c r="P126" s="2"/>
      <c r="Q126" s="2"/>
      <c r="R126" s="2"/>
      <c r="S126" s="2"/>
      <c r="T126" s="2"/>
    </row>
    <row r="127" spans="1:20" ht="20.25" customHeight="1" x14ac:dyDescent="0.2">
      <c r="A127" s="2"/>
      <c r="B127" s="2"/>
      <c r="C127" s="2"/>
      <c r="D127" s="2"/>
      <c r="E127" s="2"/>
      <c r="F127" s="2"/>
      <c r="G127" s="2"/>
      <c r="H127" s="2"/>
      <c r="I127" s="2"/>
      <c r="J127" s="2"/>
      <c r="K127" s="2"/>
      <c r="L127" s="2"/>
      <c r="M127" s="2"/>
      <c r="N127" s="2"/>
      <c r="O127" s="2"/>
      <c r="P127" s="2"/>
      <c r="Q127" s="2"/>
      <c r="R127" s="2"/>
      <c r="S127" s="2"/>
      <c r="T127" s="2"/>
    </row>
    <row r="128" spans="1:20" ht="20.25" customHeight="1" x14ac:dyDescent="0.2">
      <c r="A128" s="2"/>
      <c r="B128" s="2"/>
      <c r="C128" s="2"/>
      <c r="D128" s="2"/>
      <c r="E128" s="2"/>
      <c r="F128" s="2"/>
      <c r="G128" s="2"/>
      <c r="H128" s="2"/>
      <c r="I128" s="2"/>
      <c r="J128" s="2"/>
      <c r="K128" s="2"/>
      <c r="L128" s="2"/>
      <c r="M128" s="2"/>
      <c r="N128" s="2"/>
      <c r="O128" s="2"/>
      <c r="P128" s="2"/>
      <c r="Q128" s="2"/>
      <c r="R128" s="2"/>
      <c r="S128" s="2"/>
      <c r="T128" s="2"/>
    </row>
    <row r="129" spans="1:20" ht="20.25" customHeight="1" x14ac:dyDescent="0.2">
      <c r="A129" s="2"/>
      <c r="B129" s="2"/>
      <c r="C129" s="2"/>
      <c r="D129" s="2"/>
      <c r="E129" s="2"/>
      <c r="F129" s="2"/>
      <c r="G129" s="2"/>
      <c r="H129" s="2"/>
      <c r="I129" s="2"/>
      <c r="J129" s="2"/>
      <c r="K129" s="2"/>
      <c r="L129" s="2"/>
      <c r="M129" s="2"/>
      <c r="N129" s="2"/>
      <c r="O129" s="2"/>
      <c r="P129" s="2"/>
      <c r="Q129" s="2"/>
      <c r="R129" s="2"/>
      <c r="S129" s="2"/>
      <c r="T129" s="2"/>
    </row>
    <row r="130" spans="1:20" ht="20.25" customHeight="1" x14ac:dyDescent="0.2">
      <c r="A130" s="2"/>
      <c r="B130" s="2"/>
      <c r="C130" s="2"/>
      <c r="D130" s="2"/>
      <c r="E130" s="2"/>
      <c r="F130" s="2"/>
      <c r="G130" s="2"/>
      <c r="H130" s="2"/>
      <c r="I130" s="2"/>
      <c r="J130" s="2"/>
      <c r="K130" s="2"/>
      <c r="L130" s="2"/>
      <c r="M130" s="2"/>
      <c r="N130" s="2"/>
      <c r="O130" s="2"/>
      <c r="P130" s="2"/>
      <c r="Q130" s="2"/>
      <c r="R130" s="2"/>
      <c r="S130" s="2"/>
      <c r="T130" s="2"/>
    </row>
    <row r="131" spans="1:20" ht="20.25" customHeight="1" x14ac:dyDescent="0.2">
      <c r="A131" s="2"/>
      <c r="B131" s="2"/>
      <c r="C131" s="2"/>
      <c r="D131" s="2"/>
      <c r="E131" s="2"/>
      <c r="F131" s="2"/>
      <c r="G131" s="2"/>
      <c r="H131" s="2"/>
      <c r="I131" s="2"/>
      <c r="J131" s="2"/>
      <c r="K131" s="2"/>
      <c r="L131" s="2"/>
      <c r="M131" s="2"/>
      <c r="N131" s="2"/>
      <c r="O131" s="2"/>
      <c r="P131" s="2"/>
      <c r="Q131" s="2"/>
      <c r="R131" s="2"/>
      <c r="S131" s="2"/>
      <c r="T131" s="2"/>
    </row>
    <row r="132" spans="1:20" ht="20.25" customHeight="1" x14ac:dyDescent="0.2">
      <c r="A132" s="2"/>
      <c r="B132" s="2"/>
      <c r="C132" s="2"/>
      <c r="D132" s="2"/>
      <c r="E132" s="2"/>
      <c r="F132" s="2"/>
      <c r="G132" s="2"/>
      <c r="H132" s="2"/>
      <c r="I132" s="2"/>
      <c r="J132" s="2"/>
      <c r="K132" s="2"/>
      <c r="L132" s="2"/>
      <c r="M132" s="2"/>
      <c r="N132" s="2"/>
      <c r="O132" s="2"/>
      <c r="P132" s="2"/>
      <c r="Q132" s="2"/>
      <c r="R132" s="2"/>
      <c r="S132" s="2"/>
      <c r="T132" s="2"/>
    </row>
    <row r="133" spans="1:20" ht="20.25" customHeight="1" x14ac:dyDescent="0.2">
      <c r="A133" s="2"/>
      <c r="B133" s="2"/>
      <c r="C133" s="2"/>
      <c r="D133" s="2"/>
      <c r="E133" s="2"/>
      <c r="F133" s="2"/>
      <c r="G133" s="2"/>
      <c r="H133" s="2"/>
      <c r="I133" s="2"/>
      <c r="J133" s="2"/>
      <c r="K133" s="2"/>
      <c r="L133" s="2"/>
      <c r="M133" s="2"/>
      <c r="N133" s="2"/>
      <c r="O133" s="2"/>
      <c r="P133" s="2"/>
      <c r="Q133" s="2"/>
      <c r="R133" s="2"/>
      <c r="S133" s="2"/>
      <c r="T133" s="2"/>
    </row>
    <row r="134" spans="1:20" ht="20.25" customHeight="1" x14ac:dyDescent="0.2">
      <c r="A134" s="2"/>
      <c r="B134" s="2"/>
      <c r="C134" s="2"/>
      <c r="D134" s="2"/>
      <c r="E134" s="2"/>
      <c r="F134" s="2"/>
      <c r="G134" s="2"/>
      <c r="H134" s="2"/>
      <c r="I134" s="2"/>
      <c r="J134" s="2"/>
      <c r="K134" s="2"/>
      <c r="L134" s="2"/>
      <c r="M134" s="2"/>
      <c r="N134" s="2"/>
      <c r="O134" s="2"/>
      <c r="P134" s="2"/>
      <c r="Q134" s="2"/>
      <c r="R134" s="2"/>
      <c r="S134" s="2"/>
      <c r="T134" s="2"/>
    </row>
    <row r="135" spans="1:20" ht="20.25" customHeight="1" x14ac:dyDescent="0.2">
      <c r="A135" s="2"/>
      <c r="B135" s="2"/>
      <c r="C135" s="2"/>
      <c r="D135" s="2"/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/>
      <c r="P135" s="2"/>
      <c r="Q135" s="2"/>
      <c r="R135" s="2"/>
      <c r="S135" s="2"/>
      <c r="T135" s="2"/>
    </row>
    <row r="136" spans="1:20" ht="20.25" customHeight="1" x14ac:dyDescent="0.2">
      <c r="A136" s="2"/>
      <c r="B136" s="2"/>
      <c r="C136" s="2"/>
      <c r="D136" s="2"/>
      <c r="E136" s="2"/>
      <c r="F136" s="2"/>
      <c r="G136" s="2"/>
      <c r="H136" s="2"/>
      <c r="I136" s="2"/>
      <c r="J136" s="2"/>
      <c r="K136" s="2"/>
      <c r="L136" s="2"/>
      <c r="M136" s="2"/>
      <c r="N136" s="2"/>
      <c r="O136" s="2"/>
      <c r="P136" s="2"/>
      <c r="Q136" s="2"/>
      <c r="R136" s="2"/>
      <c r="S136" s="2"/>
      <c r="T136" s="2"/>
    </row>
    <row r="137" spans="1:20" ht="20.25" customHeight="1" x14ac:dyDescent="0.2">
      <c r="A137" s="2"/>
      <c r="B137" s="2"/>
      <c r="C137" s="2"/>
      <c r="D137" s="2"/>
      <c r="E137" s="2"/>
      <c r="F137" s="2"/>
      <c r="G137" s="2"/>
      <c r="H137" s="2"/>
      <c r="I137" s="2"/>
      <c r="J137" s="2"/>
      <c r="K137" s="2"/>
      <c r="L137" s="2"/>
      <c r="M137" s="2"/>
      <c r="N137" s="2"/>
      <c r="O137" s="2"/>
      <c r="P137" s="2"/>
      <c r="Q137" s="2"/>
      <c r="R137" s="2"/>
      <c r="S137" s="2"/>
      <c r="T137" s="2"/>
    </row>
    <row r="138" spans="1:20" ht="20.25" customHeight="1" x14ac:dyDescent="0.2">
      <c r="A138" s="2"/>
      <c r="B138" s="2"/>
      <c r="C138" s="2"/>
      <c r="D138" s="2"/>
      <c r="E138" s="2"/>
      <c r="F138" s="2"/>
      <c r="G138" s="2"/>
      <c r="H138" s="2"/>
      <c r="I138" s="2"/>
      <c r="J138" s="2"/>
      <c r="K138" s="2"/>
      <c r="L138" s="2"/>
      <c r="M138" s="2"/>
      <c r="N138" s="2"/>
      <c r="O138" s="2"/>
      <c r="P138" s="2"/>
      <c r="Q138" s="2"/>
      <c r="R138" s="2"/>
      <c r="S138" s="2"/>
      <c r="T138" s="2"/>
    </row>
    <row r="139" spans="1:20" ht="20.25" customHeight="1" x14ac:dyDescent="0.2">
      <c r="A139" s="2"/>
      <c r="B139" s="2"/>
      <c r="C139" s="2"/>
      <c r="D139" s="2"/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/>
      <c r="P139" s="2"/>
      <c r="Q139" s="2"/>
      <c r="R139" s="2"/>
      <c r="S139" s="2"/>
      <c r="T139" s="2"/>
    </row>
    <row r="140" spans="1:20" ht="20.25" customHeight="1" x14ac:dyDescent="0.2">
      <c r="A140" s="2"/>
      <c r="B140" s="2"/>
      <c r="C140" s="2"/>
      <c r="D140" s="2"/>
      <c r="E140" s="2"/>
      <c r="F140" s="2"/>
      <c r="G140" s="2"/>
      <c r="H140" s="2"/>
      <c r="I140" s="2"/>
      <c r="J140" s="2"/>
      <c r="K140" s="2"/>
      <c r="L140" s="2"/>
      <c r="M140" s="2"/>
      <c r="N140" s="2"/>
      <c r="O140" s="2"/>
      <c r="P140" s="2"/>
      <c r="Q140" s="2"/>
      <c r="R140" s="2"/>
      <c r="S140" s="2"/>
      <c r="T140" s="2"/>
    </row>
    <row r="141" spans="1:20" ht="20.25" customHeight="1" x14ac:dyDescent="0.2">
      <c r="A141" s="2"/>
      <c r="B141" s="2"/>
      <c r="C141" s="2"/>
      <c r="D141" s="2"/>
      <c r="E141" s="2"/>
      <c r="F141" s="2"/>
      <c r="G141" s="2"/>
      <c r="H141" s="2"/>
      <c r="I141" s="2"/>
      <c r="J141" s="2"/>
      <c r="K141" s="2"/>
      <c r="L141" s="2"/>
      <c r="M141" s="2"/>
      <c r="N141" s="2"/>
      <c r="O141" s="2"/>
      <c r="P141" s="2"/>
      <c r="Q141" s="2"/>
      <c r="R141" s="2"/>
      <c r="S141" s="2"/>
      <c r="T141" s="2"/>
    </row>
    <row r="142" spans="1:20" ht="20.25" customHeight="1" x14ac:dyDescent="0.2">
      <c r="A142" s="2"/>
      <c r="B142" s="2"/>
      <c r="C142" s="2"/>
      <c r="D142" s="2"/>
      <c r="E142" s="2"/>
      <c r="F142" s="2"/>
      <c r="G142" s="2"/>
      <c r="H142" s="2"/>
      <c r="I142" s="2"/>
      <c r="J142" s="2"/>
      <c r="K142" s="2"/>
      <c r="L142" s="2"/>
      <c r="M142" s="2"/>
      <c r="N142" s="2"/>
      <c r="O142" s="2"/>
      <c r="P142" s="2"/>
      <c r="Q142" s="2"/>
      <c r="R142" s="2"/>
      <c r="S142" s="2"/>
      <c r="T142" s="2"/>
    </row>
    <row r="143" spans="1:20" ht="20.25" customHeight="1" x14ac:dyDescent="0.2">
      <c r="A143" s="2"/>
      <c r="B143" s="2"/>
      <c r="C143" s="2"/>
      <c r="D143" s="2"/>
      <c r="E143" s="2"/>
      <c r="F143" s="2"/>
      <c r="G143" s="2"/>
      <c r="H143" s="2"/>
      <c r="I143" s="2"/>
      <c r="J143" s="2"/>
      <c r="K143" s="2"/>
      <c r="L143" s="2"/>
      <c r="M143" s="2"/>
      <c r="N143" s="2"/>
      <c r="O143" s="2"/>
      <c r="P143" s="2"/>
      <c r="Q143" s="2"/>
      <c r="R143" s="2"/>
      <c r="S143" s="2"/>
      <c r="T143" s="2"/>
    </row>
    <row r="144" spans="1:20" ht="20.25" customHeight="1" x14ac:dyDescent="0.2">
      <c r="A144" s="2"/>
      <c r="B144" s="2"/>
      <c r="C144" s="2"/>
      <c r="D144" s="2"/>
      <c r="E144" s="2"/>
      <c r="F144" s="2"/>
      <c r="G144" s="2"/>
      <c r="H144" s="2"/>
      <c r="I144" s="2"/>
      <c r="J144" s="2"/>
      <c r="K144" s="2"/>
      <c r="L144" s="2"/>
      <c r="M144" s="2"/>
      <c r="N144" s="2"/>
      <c r="O144" s="2"/>
      <c r="P144" s="2"/>
      <c r="Q144" s="2"/>
      <c r="R144" s="2"/>
      <c r="S144" s="2"/>
      <c r="T144" s="2"/>
    </row>
    <row r="145" spans="1:20" ht="20.25" customHeight="1" x14ac:dyDescent="0.2">
      <c r="A145" s="2"/>
      <c r="B145" s="2"/>
      <c r="C145" s="2"/>
      <c r="D145" s="2"/>
      <c r="E145" s="2"/>
      <c r="F145" s="2"/>
      <c r="G145" s="2"/>
      <c r="H145" s="2"/>
      <c r="I145" s="2"/>
      <c r="J145" s="2"/>
      <c r="K145" s="2"/>
      <c r="L145" s="2"/>
      <c r="M145" s="2"/>
      <c r="N145" s="2"/>
      <c r="O145" s="2"/>
      <c r="P145" s="2"/>
      <c r="Q145" s="2"/>
      <c r="R145" s="2"/>
      <c r="S145" s="2"/>
      <c r="T145" s="2"/>
    </row>
    <row r="146" spans="1:20" ht="20.25" customHeight="1" x14ac:dyDescent="0.2">
      <c r="A146" s="2"/>
      <c r="B146" s="2"/>
      <c r="C146" s="2"/>
      <c r="D146" s="2"/>
      <c r="E146" s="2"/>
      <c r="F146" s="2"/>
      <c r="G146" s="2"/>
      <c r="H146" s="2"/>
      <c r="I146" s="2"/>
      <c r="J146" s="2"/>
      <c r="K146" s="2"/>
      <c r="L146" s="2"/>
      <c r="M146" s="2"/>
      <c r="N146" s="2"/>
      <c r="O146" s="2"/>
      <c r="P146" s="2"/>
      <c r="Q146" s="2"/>
      <c r="R146" s="2"/>
      <c r="S146" s="2"/>
      <c r="T146" s="2"/>
    </row>
    <row r="147" spans="1:20" ht="20.25" customHeight="1" x14ac:dyDescent="0.2">
      <c r="A147" s="2"/>
      <c r="B147" s="2"/>
      <c r="C147" s="2"/>
      <c r="D147" s="2"/>
      <c r="E147" s="2"/>
      <c r="F147" s="2"/>
      <c r="G147" s="2"/>
      <c r="H147" s="2"/>
      <c r="I147" s="2"/>
      <c r="J147" s="2"/>
      <c r="K147" s="2"/>
      <c r="L147" s="2"/>
      <c r="M147" s="2"/>
      <c r="N147" s="2"/>
      <c r="O147" s="2"/>
      <c r="P147" s="2"/>
      <c r="Q147" s="2"/>
      <c r="R147" s="2"/>
      <c r="S147" s="2"/>
      <c r="T147" s="2"/>
    </row>
    <row r="148" spans="1:20" ht="20.25" customHeight="1" x14ac:dyDescent="0.2">
      <c r="A148" s="2"/>
      <c r="B148" s="2"/>
      <c r="C148" s="2"/>
      <c r="D148" s="2"/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/>
      <c r="P148" s="2"/>
      <c r="Q148" s="2"/>
      <c r="R148" s="2"/>
      <c r="S148" s="2"/>
      <c r="T148" s="2"/>
    </row>
    <row r="149" spans="1:20" ht="20.25" customHeight="1" x14ac:dyDescent="0.2">
      <c r="A149" s="2"/>
      <c r="B149" s="2"/>
      <c r="C149" s="2"/>
      <c r="D149" s="2"/>
      <c r="E149" s="2"/>
      <c r="F149" s="2"/>
      <c r="G149" s="2"/>
      <c r="H149" s="2"/>
      <c r="I149" s="2"/>
      <c r="J149" s="2"/>
      <c r="K149" s="2"/>
      <c r="L149" s="2"/>
      <c r="M149" s="2"/>
      <c r="N149" s="2"/>
      <c r="O149" s="2"/>
      <c r="P149" s="2"/>
      <c r="Q149" s="2"/>
      <c r="R149" s="2"/>
      <c r="S149" s="2"/>
      <c r="T149" s="2"/>
    </row>
    <row r="150" spans="1:20" ht="20.25" customHeight="1" x14ac:dyDescent="0.2">
      <c r="A150" s="2"/>
      <c r="B150" s="2"/>
      <c r="C150" s="2"/>
      <c r="D150" s="2"/>
      <c r="E150" s="2"/>
      <c r="F150" s="2"/>
      <c r="G150" s="2"/>
      <c r="H150" s="2"/>
      <c r="I150" s="2"/>
      <c r="J150" s="2"/>
      <c r="K150" s="2"/>
      <c r="L150" s="2"/>
      <c r="M150" s="2"/>
      <c r="N150" s="2"/>
      <c r="O150" s="2"/>
      <c r="P150" s="2"/>
      <c r="Q150" s="2"/>
      <c r="R150" s="2"/>
      <c r="S150" s="2"/>
      <c r="T150" s="2"/>
    </row>
    <row r="151" spans="1:20" ht="20.25" customHeight="1" x14ac:dyDescent="0.2">
      <c r="A151" s="2"/>
      <c r="B151" s="2"/>
      <c r="C151" s="2"/>
      <c r="D151" s="2"/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/>
      <c r="P151" s="2"/>
      <c r="Q151" s="2"/>
      <c r="R151" s="2"/>
      <c r="S151" s="2"/>
      <c r="T151" s="2"/>
    </row>
    <row r="152" spans="1:20" ht="20.25" customHeight="1" x14ac:dyDescent="0.2">
      <c r="A152" s="2"/>
      <c r="B152" s="2"/>
      <c r="C152" s="2"/>
      <c r="D152" s="2"/>
      <c r="E152" s="2"/>
      <c r="F152" s="2"/>
      <c r="G152" s="2"/>
      <c r="H152" s="2"/>
      <c r="I152" s="2"/>
      <c r="J152" s="2"/>
      <c r="K152" s="2"/>
      <c r="L152" s="2"/>
      <c r="M152" s="2"/>
      <c r="N152" s="2"/>
      <c r="O152" s="2"/>
      <c r="P152" s="2"/>
      <c r="Q152" s="2"/>
      <c r="R152" s="2"/>
      <c r="S152" s="2"/>
      <c r="T152" s="2"/>
    </row>
    <row r="153" spans="1:20" ht="20.25" customHeight="1" x14ac:dyDescent="0.2">
      <c r="A153" s="2"/>
      <c r="B153" s="2"/>
      <c r="C153" s="2"/>
      <c r="D153" s="2"/>
      <c r="E153" s="2"/>
      <c r="F153" s="2"/>
      <c r="G153" s="2"/>
      <c r="H153" s="2"/>
      <c r="I153" s="2"/>
      <c r="J153" s="2"/>
      <c r="K153" s="2"/>
      <c r="L153" s="2"/>
      <c r="M153" s="2"/>
      <c r="N153" s="2"/>
      <c r="O153" s="2"/>
      <c r="P153" s="2"/>
      <c r="Q153" s="2"/>
      <c r="R153" s="2"/>
      <c r="S153" s="2"/>
      <c r="T153" s="2"/>
    </row>
    <row r="154" spans="1:20" ht="20.25" customHeight="1" x14ac:dyDescent="0.2">
      <c r="A154" s="2"/>
      <c r="B154" s="2"/>
      <c r="C154" s="2"/>
      <c r="D154" s="2"/>
      <c r="E154" s="2"/>
      <c r="F154" s="2"/>
      <c r="G154" s="2"/>
      <c r="H154" s="2"/>
      <c r="I154" s="2"/>
      <c r="J154" s="2"/>
      <c r="K154" s="2"/>
      <c r="L154" s="2"/>
      <c r="M154" s="2"/>
      <c r="N154" s="2"/>
      <c r="O154" s="2"/>
      <c r="P154" s="2"/>
      <c r="Q154" s="2"/>
      <c r="R154" s="2"/>
      <c r="S154" s="2"/>
      <c r="T154" s="2"/>
    </row>
    <row r="155" spans="1:20" ht="20.25" customHeight="1" x14ac:dyDescent="0.2">
      <c r="A155" s="2"/>
      <c r="B155" s="2"/>
      <c r="C155" s="2"/>
      <c r="D155" s="2"/>
      <c r="E155" s="2"/>
      <c r="F155" s="2"/>
      <c r="G155" s="2"/>
      <c r="H155" s="2"/>
      <c r="I155" s="2"/>
      <c r="J155" s="2"/>
      <c r="K155" s="2"/>
      <c r="L155" s="2"/>
      <c r="M155" s="2"/>
      <c r="N155" s="2"/>
      <c r="O155" s="2"/>
      <c r="P155" s="2"/>
      <c r="Q155" s="2"/>
      <c r="R155" s="2"/>
      <c r="S155" s="2"/>
      <c r="T155" s="2"/>
    </row>
    <row r="156" spans="1:20" ht="20.25" customHeight="1" x14ac:dyDescent="0.2">
      <c r="A156" s="2"/>
      <c r="B156" s="2"/>
      <c r="C156" s="2"/>
      <c r="D156" s="2"/>
      <c r="E156" s="2"/>
      <c r="F156" s="2"/>
      <c r="G156" s="2"/>
      <c r="H156" s="2"/>
      <c r="I156" s="2"/>
      <c r="J156" s="2"/>
      <c r="K156" s="2"/>
      <c r="L156" s="2"/>
      <c r="M156" s="2"/>
      <c r="N156" s="2"/>
      <c r="O156" s="2"/>
      <c r="P156" s="2"/>
      <c r="Q156" s="2"/>
      <c r="R156" s="2"/>
      <c r="S156" s="2"/>
      <c r="T156" s="2"/>
    </row>
    <row r="157" spans="1:20" ht="20.25" customHeight="1" x14ac:dyDescent="0.2">
      <c r="A157" s="2"/>
      <c r="B157" s="2"/>
      <c r="C157" s="2"/>
      <c r="D157" s="2"/>
      <c r="E157" s="2"/>
      <c r="F157" s="2"/>
      <c r="G157" s="2"/>
      <c r="H157" s="2"/>
      <c r="I157" s="2"/>
      <c r="J157" s="2"/>
      <c r="K157" s="2"/>
      <c r="L157" s="2"/>
      <c r="M157" s="2"/>
      <c r="N157" s="2"/>
      <c r="O157" s="2"/>
      <c r="P157" s="2"/>
      <c r="Q157" s="2"/>
      <c r="R157" s="2"/>
      <c r="S157" s="2"/>
      <c r="T157" s="2"/>
    </row>
    <row r="158" spans="1:20" ht="20.25" customHeight="1" x14ac:dyDescent="0.2">
      <c r="A158" s="2"/>
      <c r="B158" s="2"/>
      <c r="C158" s="2"/>
      <c r="D158" s="2"/>
      <c r="E158" s="2"/>
      <c r="F158" s="2"/>
      <c r="G158" s="2"/>
      <c r="H158" s="2"/>
      <c r="I158" s="2"/>
      <c r="J158" s="2"/>
      <c r="K158" s="2"/>
      <c r="L158" s="2"/>
      <c r="M158" s="2"/>
      <c r="N158" s="2"/>
      <c r="O158" s="2"/>
      <c r="P158" s="2"/>
      <c r="Q158" s="2"/>
      <c r="R158" s="2"/>
      <c r="S158" s="2"/>
      <c r="T158" s="2"/>
    </row>
    <row r="159" spans="1:20" ht="20.25" customHeight="1" x14ac:dyDescent="0.2">
      <c r="A159" s="2"/>
      <c r="B159" s="2"/>
      <c r="C159" s="2"/>
      <c r="D159" s="2"/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/>
      <c r="P159" s="2"/>
      <c r="Q159" s="2"/>
      <c r="R159" s="2"/>
      <c r="S159" s="2"/>
      <c r="T159" s="2"/>
    </row>
    <row r="160" spans="1:20" ht="20.25" customHeight="1" x14ac:dyDescent="0.2">
      <c r="A160" s="2"/>
      <c r="B160" s="2"/>
      <c r="C160" s="2"/>
      <c r="D160" s="2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</row>
    <row r="161" spans="1:20" ht="20.25" customHeight="1" x14ac:dyDescent="0.2">
      <c r="A161" s="2"/>
      <c r="B161" s="2"/>
      <c r="C161" s="2"/>
      <c r="D161" s="2"/>
      <c r="E161" s="2"/>
      <c r="F161" s="2"/>
      <c r="G161" s="2"/>
      <c r="H161" s="2"/>
      <c r="I161" s="2"/>
      <c r="J161" s="2"/>
      <c r="K161" s="2"/>
      <c r="L161" s="2"/>
      <c r="M161" s="2"/>
      <c r="N161" s="2"/>
      <c r="O161" s="2"/>
      <c r="P161" s="2"/>
      <c r="Q161" s="2"/>
      <c r="R161" s="2"/>
      <c r="S161" s="2"/>
      <c r="T161" s="2"/>
    </row>
    <row r="162" spans="1:20" ht="20.25" customHeight="1" x14ac:dyDescent="0.2">
      <c r="A162" s="2"/>
      <c r="B162" s="2"/>
      <c r="C162" s="2"/>
      <c r="D162" s="2"/>
      <c r="E162" s="2"/>
      <c r="F162" s="2"/>
      <c r="G162" s="2"/>
      <c r="H162" s="2"/>
      <c r="I162" s="2"/>
      <c r="J162" s="2"/>
      <c r="K162" s="2"/>
      <c r="L162" s="2"/>
      <c r="M162" s="2"/>
      <c r="N162" s="2"/>
      <c r="O162" s="2"/>
      <c r="P162" s="2"/>
      <c r="Q162" s="2"/>
      <c r="R162" s="2"/>
      <c r="S162" s="2"/>
      <c r="T162" s="2"/>
    </row>
    <row r="163" spans="1:20" ht="20.25" customHeight="1" x14ac:dyDescent="0.2">
      <c r="A163" s="2"/>
      <c r="B163" s="2"/>
      <c r="C163" s="2"/>
      <c r="D163" s="2"/>
      <c r="E163" s="2"/>
      <c r="F163" s="2"/>
      <c r="G163" s="2"/>
      <c r="H163" s="2"/>
      <c r="I163" s="2"/>
      <c r="J163" s="2"/>
      <c r="K163" s="2"/>
      <c r="L163" s="2"/>
      <c r="M163" s="2"/>
      <c r="N163" s="2"/>
      <c r="O163" s="2"/>
      <c r="P163" s="2"/>
      <c r="Q163" s="2"/>
      <c r="R163" s="2"/>
      <c r="S163" s="2"/>
      <c r="T163" s="2"/>
    </row>
    <row r="164" spans="1:20" ht="20.25" customHeight="1" x14ac:dyDescent="0.2">
      <c r="A164" s="2"/>
      <c r="B164" s="2"/>
      <c r="C164" s="2"/>
      <c r="D164" s="2"/>
      <c r="E164" s="2"/>
      <c r="F164" s="2"/>
      <c r="G164" s="2"/>
      <c r="H164" s="2"/>
      <c r="I164" s="2"/>
      <c r="J164" s="2"/>
      <c r="K164" s="2"/>
      <c r="L164" s="2"/>
      <c r="M164" s="2"/>
      <c r="N164" s="2"/>
      <c r="O164" s="2"/>
      <c r="P164" s="2"/>
      <c r="Q164" s="2"/>
      <c r="R164" s="2"/>
      <c r="S164" s="2"/>
      <c r="T164" s="2"/>
    </row>
    <row r="165" spans="1:20" ht="20.25" customHeight="1" x14ac:dyDescent="0.2">
      <c r="A165" s="2"/>
      <c r="B165" s="2"/>
      <c r="C165" s="2"/>
      <c r="D165" s="2"/>
      <c r="E165" s="2"/>
      <c r="F165" s="2"/>
      <c r="G165" s="2"/>
      <c r="H165" s="2"/>
      <c r="I165" s="2"/>
      <c r="J165" s="2"/>
      <c r="K165" s="2"/>
      <c r="L165" s="2"/>
      <c r="M165" s="2"/>
      <c r="N165" s="2"/>
      <c r="O165" s="2"/>
      <c r="P165" s="2"/>
      <c r="Q165" s="2"/>
      <c r="R165" s="2"/>
      <c r="S165" s="2"/>
      <c r="T165" s="2"/>
    </row>
    <row r="166" spans="1:20" ht="20.25" customHeight="1" x14ac:dyDescent="0.2">
      <c r="A166" s="2"/>
      <c r="B166" s="2"/>
      <c r="C166" s="2"/>
      <c r="D166" s="2"/>
      <c r="E166" s="2"/>
      <c r="F166" s="2"/>
      <c r="G166" s="2"/>
      <c r="H166" s="2"/>
      <c r="I166" s="2"/>
      <c r="J166" s="2"/>
      <c r="K166" s="2"/>
      <c r="L166" s="2"/>
      <c r="M166" s="2"/>
      <c r="N166" s="2"/>
      <c r="O166" s="2"/>
      <c r="P166" s="2"/>
      <c r="Q166" s="2"/>
      <c r="R166" s="2"/>
      <c r="S166" s="2"/>
      <c r="T166" s="2"/>
    </row>
    <row r="167" spans="1:20" ht="20.25" customHeight="1" x14ac:dyDescent="0.2">
      <c r="A167" s="2"/>
      <c r="B167" s="2"/>
      <c r="C167" s="2"/>
      <c r="D167" s="2"/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/>
      <c r="P167" s="2"/>
      <c r="Q167" s="2"/>
      <c r="R167" s="2"/>
      <c r="S167" s="2"/>
      <c r="T167" s="2"/>
    </row>
    <row r="168" spans="1:20" ht="20.25" customHeight="1" x14ac:dyDescent="0.2">
      <c r="A168" s="2"/>
      <c r="B168" s="2"/>
      <c r="C168" s="2"/>
      <c r="D168" s="2"/>
      <c r="E168" s="2"/>
      <c r="F168" s="2"/>
      <c r="G168" s="2"/>
      <c r="H168" s="2"/>
      <c r="I168" s="2"/>
      <c r="J168" s="2"/>
      <c r="K168" s="2"/>
      <c r="L168" s="2"/>
      <c r="M168" s="2"/>
      <c r="N168" s="2"/>
      <c r="O168" s="2"/>
      <c r="P168" s="2"/>
      <c r="Q168" s="2"/>
      <c r="R168" s="2"/>
      <c r="S168" s="2"/>
      <c r="T168" s="2"/>
    </row>
    <row r="169" spans="1:20" ht="20.25" customHeight="1" x14ac:dyDescent="0.2">
      <c r="A169" s="2"/>
      <c r="B169" s="2"/>
      <c r="C169" s="2"/>
      <c r="D169" s="2"/>
      <c r="E169" s="2"/>
      <c r="F169" s="2"/>
      <c r="G169" s="2"/>
      <c r="H169" s="2"/>
      <c r="I169" s="2"/>
      <c r="J169" s="2"/>
      <c r="K169" s="2"/>
      <c r="L169" s="2"/>
      <c r="M169" s="2"/>
      <c r="N169" s="2"/>
      <c r="O169" s="2"/>
      <c r="P169" s="2"/>
      <c r="Q169" s="2"/>
      <c r="R169" s="2"/>
      <c r="S169" s="2"/>
      <c r="T169" s="2"/>
    </row>
    <row r="170" spans="1:20" ht="20.25" customHeight="1" x14ac:dyDescent="0.2">
      <c r="A170" s="2"/>
      <c r="B170" s="2"/>
      <c r="C170" s="2"/>
      <c r="D170" s="2"/>
      <c r="E170" s="2"/>
      <c r="F170" s="2"/>
      <c r="G170" s="2"/>
      <c r="H170" s="2"/>
      <c r="I170" s="2"/>
      <c r="J170" s="2"/>
      <c r="K170" s="2"/>
      <c r="L170" s="2"/>
      <c r="M170" s="2"/>
      <c r="N170" s="2"/>
      <c r="O170" s="2"/>
      <c r="P170" s="2"/>
      <c r="Q170" s="2"/>
      <c r="R170" s="2"/>
      <c r="S170" s="2"/>
      <c r="T170" s="2"/>
    </row>
    <row r="171" spans="1:20" ht="20.25" customHeight="1" x14ac:dyDescent="0.2">
      <c r="A171" s="2"/>
      <c r="B171" s="2"/>
      <c r="C171" s="2"/>
      <c r="D171" s="2"/>
      <c r="E171" s="2"/>
      <c r="F171" s="2"/>
      <c r="G171" s="2"/>
      <c r="H171" s="2"/>
      <c r="I171" s="2"/>
      <c r="J171" s="2"/>
      <c r="K171" s="2"/>
      <c r="L171" s="2"/>
      <c r="M171" s="2"/>
      <c r="N171" s="2"/>
      <c r="O171" s="2"/>
      <c r="P171" s="2"/>
      <c r="Q171" s="2"/>
      <c r="R171" s="2"/>
      <c r="S171" s="2"/>
      <c r="T171" s="2"/>
    </row>
    <row r="172" spans="1:20" ht="20.25" customHeight="1" x14ac:dyDescent="0.2">
      <c r="A172" s="2"/>
      <c r="B172" s="2"/>
      <c r="C172" s="2"/>
      <c r="D172" s="2"/>
      <c r="E172" s="2"/>
      <c r="F172" s="2"/>
      <c r="G172" s="2"/>
      <c r="H172" s="2"/>
      <c r="I172" s="2"/>
      <c r="J172" s="2"/>
      <c r="K172" s="2"/>
      <c r="L172" s="2"/>
      <c r="M172" s="2"/>
      <c r="N172" s="2"/>
      <c r="O172" s="2"/>
      <c r="P172" s="2"/>
      <c r="Q172" s="2"/>
      <c r="R172" s="2"/>
      <c r="S172" s="2"/>
      <c r="T172" s="2"/>
    </row>
    <row r="173" spans="1:20" ht="20.25" customHeight="1" x14ac:dyDescent="0.2">
      <c r="A173" s="2"/>
      <c r="B173" s="2"/>
      <c r="C173" s="2"/>
      <c r="D173" s="2"/>
      <c r="E173" s="2"/>
      <c r="F173" s="2"/>
      <c r="G173" s="2"/>
      <c r="H173" s="2"/>
      <c r="I173" s="2"/>
      <c r="J173" s="2"/>
      <c r="K173" s="2"/>
      <c r="L173" s="2"/>
      <c r="M173" s="2"/>
      <c r="N173" s="2"/>
      <c r="O173" s="2"/>
      <c r="P173" s="2"/>
      <c r="Q173" s="2"/>
      <c r="R173" s="2"/>
      <c r="S173" s="2"/>
      <c r="T173" s="2"/>
    </row>
    <row r="174" spans="1:20" ht="20.25" customHeight="1" x14ac:dyDescent="0.2">
      <c r="A174" s="2"/>
      <c r="B174" s="2"/>
      <c r="C174" s="2"/>
      <c r="D174" s="2"/>
      <c r="E174" s="2"/>
      <c r="F174" s="2"/>
      <c r="G174" s="2"/>
      <c r="H174" s="2"/>
      <c r="I174" s="2"/>
      <c r="J174" s="2"/>
      <c r="K174" s="2"/>
      <c r="L174" s="2"/>
      <c r="M174" s="2"/>
      <c r="N174" s="2"/>
      <c r="O174" s="2"/>
      <c r="P174" s="2"/>
      <c r="Q174" s="2"/>
      <c r="R174" s="2"/>
      <c r="S174" s="2"/>
      <c r="T174" s="2"/>
    </row>
    <row r="175" spans="1:20" ht="20.25" customHeight="1" x14ac:dyDescent="0.2">
      <c r="A175" s="2"/>
      <c r="B175" s="2"/>
      <c r="C175" s="2"/>
      <c r="D175" s="2"/>
      <c r="E175" s="2"/>
      <c r="F175" s="2"/>
      <c r="G175" s="2"/>
      <c r="H175" s="2"/>
      <c r="I175" s="2"/>
      <c r="J175" s="2"/>
      <c r="K175" s="2"/>
      <c r="L175" s="2"/>
      <c r="M175" s="2"/>
      <c r="N175" s="2"/>
      <c r="O175" s="2"/>
      <c r="P175" s="2"/>
      <c r="Q175" s="2"/>
      <c r="R175" s="2"/>
      <c r="S175" s="2"/>
      <c r="T175" s="2"/>
    </row>
    <row r="176" spans="1:20" ht="20.25" customHeight="1" x14ac:dyDescent="0.2">
      <c r="A176" s="2"/>
      <c r="B176" s="2"/>
      <c r="C176" s="2"/>
      <c r="D176" s="2"/>
      <c r="E176" s="2"/>
      <c r="F176" s="2"/>
      <c r="G176" s="2"/>
      <c r="H176" s="2"/>
      <c r="I176" s="2"/>
      <c r="J176" s="2"/>
      <c r="K176" s="2"/>
      <c r="L176" s="2"/>
      <c r="M176" s="2"/>
      <c r="N176" s="2"/>
      <c r="O176" s="2"/>
      <c r="P176" s="2"/>
      <c r="Q176" s="2"/>
      <c r="R176" s="2"/>
      <c r="S176" s="2"/>
      <c r="T176" s="2"/>
    </row>
    <row r="177" spans="1:20" ht="20.25" customHeight="1" x14ac:dyDescent="0.2">
      <c r="A177" s="2"/>
      <c r="B177" s="2"/>
      <c r="C177" s="2"/>
      <c r="D177" s="2"/>
      <c r="E177" s="2"/>
      <c r="F177" s="2"/>
      <c r="G177" s="2"/>
      <c r="H177" s="2"/>
      <c r="I177" s="2"/>
      <c r="J177" s="2"/>
      <c r="K177" s="2"/>
      <c r="L177" s="2"/>
      <c r="M177" s="2"/>
      <c r="N177" s="2"/>
      <c r="O177" s="2"/>
      <c r="P177" s="2"/>
      <c r="Q177" s="2"/>
      <c r="R177" s="2"/>
      <c r="S177" s="2"/>
      <c r="T177" s="2"/>
    </row>
    <row r="178" spans="1:20" ht="20.25" customHeight="1" x14ac:dyDescent="0.2">
      <c r="A178" s="2"/>
      <c r="B178" s="2"/>
      <c r="C178" s="2"/>
      <c r="D178" s="2"/>
      <c r="E178" s="2"/>
      <c r="F178" s="2"/>
      <c r="G178" s="2"/>
      <c r="H178" s="2"/>
      <c r="I178" s="2"/>
      <c r="J178" s="2"/>
      <c r="K178" s="2"/>
      <c r="L178" s="2"/>
      <c r="M178" s="2"/>
      <c r="N178" s="2"/>
      <c r="O178" s="2"/>
      <c r="P178" s="2"/>
      <c r="Q178" s="2"/>
      <c r="R178" s="2"/>
      <c r="S178" s="2"/>
      <c r="T178" s="2"/>
    </row>
    <row r="179" spans="1:20" ht="20.25" customHeight="1" x14ac:dyDescent="0.2">
      <c r="A179" s="2"/>
      <c r="B179" s="2"/>
      <c r="C179" s="2"/>
      <c r="D179" s="2"/>
      <c r="E179" s="2"/>
      <c r="F179" s="2"/>
      <c r="G179" s="2"/>
      <c r="H179" s="2"/>
      <c r="I179" s="2"/>
      <c r="J179" s="2"/>
      <c r="K179" s="2"/>
      <c r="L179" s="2"/>
      <c r="M179" s="2"/>
      <c r="N179" s="2"/>
      <c r="O179" s="2"/>
      <c r="P179" s="2"/>
      <c r="Q179" s="2"/>
      <c r="R179" s="2"/>
      <c r="S179" s="2"/>
      <c r="T179" s="2"/>
    </row>
    <row r="180" spans="1:20" ht="20.25" customHeight="1" x14ac:dyDescent="0.2">
      <c r="A180" s="2"/>
      <c r="B180" s="2"/>
      <c r="C180" s="2"/>
      <c r="D180" s="2"/>
      <c r="E180" s="2"/>
      <c r="F180" s="2"/>
      <c r="G180" s="2"/>
      <c r="H180" s="2"/>
      <c r="I180" s="2"/>
      <c r="J180" s="2"/>
      <c r="K180" s="2"/>
      <c r="L180" s="2"/>
      <c r="M180" s="2"/>
      <c r="N180" s="2"/>
      <c r="O180" s="2"/>
      <c r="P180" s="2"/>
      <c r="Q180" s="2"/>
      <c r="R180" s="2"/>
      <c r="S180" s="2"/>
      <c r="T180" s="2"/>
    </row>
    <row r="181" spans="1:20" ht="20.25" customHeight="1" x14ac:dyDescent="0.2">
      <c r="A181" s="2"/>
      <c r="B181" s="2"/>
      <c r="C181" s="2"/>
      <c r="D181" s="2"/>
      <c r="E181" s="2"/>
      <c r="F181" s="2"/>
      <c r="G181" s="2"/>
      <c r="H181" s="2"/>
      <c r="I181" s="2"/>
      <c r="J181" s="2"/>
      <c r="K181" s="2"/>
      <c r="L181" s="2"/>
      <c r="M181" s="2"/>
      <c r="N181" s="2"/>
      <c r="O181" s="2"/>
      <c r="P181" s="2"/>
      <c r="Q181" s="2"/>
      <c r="R181" s="2"/>
      <c r="S181" s="2"/>
      <c r="T181" s="2"/>
    </row>
    <row r="182" spans="1:20" ht="20.25" customHeight="1" x14ac:dyDescent="0.2">
      <c r="A182" s="2"/>
      <c r="B182" s="2"/>
      <c r="C182" s="2"/>
      <c r="D182" s="2"/>
      <c r="E182" s="2"/>
      <c r="F182" s="2"/>
      <c r="G182" s="2"/>
      <c r="H182" s="2"/>
      <c r="I182" s="2"/>
      <c r="J182" s="2"/>
      <c r="K182" s="2"/>
      <c r="L182" s="2"/>
      <c r="M182" s="2"/>
      <c r="N182" s="2"/>
      <c r="O182" s="2"/>
      <c r="P182" s="2"/>
      <c r="Q182" s="2"/>
      <c r="R182" s="2"/>
      <c r="S182" s="2"/>
      <c r="T182" s="2"/>
    </row>
    <row r="183" spans="1:20" ht="20.25" customHeight="1" x14ac:dyDescent="0.2">
      <c r="A183" s="2"/>
      <c r="B183" s="2"/>
      <c r="C183" s="2"/>
      <c r="D183" s="2"/>
      <c r="E183" s="2"/>
      <c r="F183" s="2"/>
      <c r="G183" s="2"/>
      <c r="H183" s="2"/>
      <c r="I183" s="2"/>
      <c r="J183" s="2"/>
      <c r="K183" s="2"/>
      <c r="L183" s="2"/>
      <c r="M183" s="2"/>
      <c r="N183" s="2"/>
      <c r="O183" s="2"/>
      <c r="P183" s="2"/>
      <c r="Q183" s="2"/>
      <c r="R183" s="2"/>
      <c r="S183" s="2"/>
      <c r="T183" s="2"/>
    </row>
    <row r="184" spans="1:20" ht="20.25" customHeight="1" x14ac:dyDescent="0.2">
      <c r="A184" s="2"/>
      <c r="B184" s="2"/>
      <c r="C184" s="2"/>
      <c r="D184" s="2"/>
      <c r="E184" s="2"/>
      <c r="F184" s="2"/>
      <c r="G184" s="2"/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</row>
    <row r="185" spans="1:20" ht="20.25" customHeight="1" x14ac:dyDescent="0.2">
      <c r="A185" s="2"/>
      <c r="B185" s="2"/>
      <c r="C185" s="2"/>
      <c r="D185" s="2"/>
      <c r="E185" s="2"/>
      <c r="F185" s="2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</row>
    <row r="186" spans="1:20" ht="20.25" customHeight="1" x14ac:dyDescent="0.2">
      <c r="A186" s="2"/>
      <c r="B186" s="2"/>
      <c r="C186" s="2"/>
      <c r="D186" s="2"/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</row>
    <row r="187" spans="1:20" ht="20.25" customHeight="1" x14ac:dyDescent="0.2">
      <c r="A187" s="2"/>
      <c r="B187" s="2"/>
      <c r="C187" s="2"/>
      <c r="D187" s="2"/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/>
      <c r="P187" s="2"/>
      <c r="Q187" s="2"/>
      <c r="R187" s="2"/>
      <c r="S187" s="2"/>
      <c r="T187" s="2"/>
    </row>
    <row r="188" spans="1:20" ht="20.25" customHeight="1" x14ac:dyDescent="0.2">
      <c r="A188" s="2"/>
      <c r="B188" s="2"/>
      <c r="C188" s="2"/>
      <c r="D188" s="2"/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/>
      <c r="P188" s="2"/>
      <c r="Q188" s="2"/>
      <c r="R188" s="2"/>
      <c r="S188" s="2"/>
      <c r="T188" s="2"/>
    </row>
    <row r="189" spans="1:20" ht="20.25" customHeight="1" x14ac:dyDescent="0.2">
      <c r="A189" s="2"/>
      <c r="B189" s="2"/>
      <c r="C189" s="2"/>
      <c r="D189" s="2"/>
      <c r="E189" s="2"/>
      <c r="F189" s="2"/>
      <c r="G189" s="2"/>
      <c r="H189" s="2"/>
      <c r="I189" s="2"/>
      <c r="J189" s="2"/>
      <c r="K189" s="2"/>
      <c r="L189" s="2"/>
      <c r="M189" s="2"/>
      <c r="N189" s="2"/>
      <c r="O189" s="2"/>
      <c r="P189" s="2"/>
      <c r="Q189" s="2"/>
      <c r="R189" s="2"/>
      <c r="S189" s="2"/>
      <c r="T189" s="2"/>
    </row>
    <row r="190" spans="1:20" ht="20.25" customHeight="1" x14ac:dyDescent="0.2">
      <c r="A190" s="2"/>
      <c r="B190" s="2"/>
      <c r="C190" s="2"/>
      <c r="D190" s="2"/>
      <c r="E190" s="2"/>
      <c r="F190" s="2"/>
      <c r="G190" s="2"/>
      <c r="H190" s="2"/>
      <c r="I190" s="2"/>
      <c r="J190" s="2"/>
      <c r="K190" s="2"/>
      <c r="L190" s="2"/>
      <c r="M190" s="2"/>
      <c r="N190" s="2"/>
      <c r="O190" s="2"/>
      <c r="P190" s="2"/>
      <c r="Q190" s="2"/>
      <c r="R190" s="2"/>
      <c r="S190" s="2"/>
      <c r="T190" s="2"/>
    </row>
    <row r="191" spans="1:20" ht="20.25" customHeight="1" x14ac:dyDescent="0.2">
      <c r="A191" s="2"/>
      <c r="B191" s="2"/>
      <c r="C191" s="2"/>
      <c r="D191" s="2"/>
      <c r="E191" s="2"/>
      <c r="F191" s="2"/>
      <c r="G191" s="2"/>
      <c r="H191" s="2"/>
      <c r="I191" s="2"/>
      <c r="J191" s="2"/>
      <c r="K191" s="2"/>
      <c r="L191" s="2"/>
      <c r="M191" s="2"/>
      <c r="N191" s="2"/>
      <c r="O191" s="2"/>
      <c r="P191" s="2"/>
      <c r="Q191" s="2"/>
      <c r="R191" s="2"/>
      <c r="S191" s="2"/>
      <c r="T191" s="2"/>
    </row>
    <row r="192" spans="1:20" ht="20.25" customHeight="1" x14ac:dyDescent="0.2">
      <c r="A192" s="2"/>
      <c r="B192" s="2"/>
      <c r="C192" s="2"/>
      <c r="D192" s="2"/>
      <c r="E192" s="2"/>
      <c r="F192" s="2"/>
      <c r="G192" s="2"/>
      <c r="H192" s="2"/>
      <c r="I192" s="2"/>
      <c r="J192" s="2"/>
      <c r="K192" s="2"/>
      <c r="L192" s="2"/>
      <c r="M192" s="2"/>
      <c r="N192" s="2"/>
      <c r="O192" s="2"/>
      <c r="P192" s="2"/>
      <c r="Q192" s="2"/>
      <c r="R192" s="2"/>
      <c r="S192" s="2"/>
      <c r="T192" s="2"/>
    </row>
    <row r="193" spans="1:20" ht="20.25" customHeight="1" x14ac:dyDescent="0.2">
      <c r="A193" s="2"/>
      <c r="B193" s="2"/>
      <c r="C193" s="2"/>
      <c r="D193" s="2"/>
      <c r="E193" s="2"/>
      <c r="F193" s="2"/>
      <c r="G193" s="2"/>
      <c r="H193" s="2"/>
      <c r="I193" s="2"/>
      <c r="J193" s="2"/>
      <c r="K193" s="2"/>
      <c r="L193" s="2"/>
      <c r="M193" s="2"/>
      <c r="N193" s="2"/>
      <c r="O193" s="2"/>
      <c r="P193" s="2"/>
      <c r="Q193" s="2"/>
      <c r="R193" s="2"/>
      <c r="S193" s="2"/>
      <c r="T193" s="2"/>
    </row>
    <row r="194" spans="1:20" ht="20.25" customHeight="1" x14ac:dyDescent="0.2">
      <c r="A194" s="2"/>
      <c r="B194" s="2"/>
      <c r="C194" s="2"/>
      <c r="D194" s="2"/>
      <c r="E194" s="2"/>
      <c r="F194" s="2"/>
      <c r="G194" s="2"/>
      <c r="H194" s="2"/>
      <c r="I194" s="2"/>
      <c r="J194" s="2"/>
      <c r="K194" s="2"/>
      <c r="L194" s="2"/>
      <c r="M194" s="2"/>
      <c r="N194" s="2"/>
      <c r="O194" s="2"/>
      <c r="P194" s="2"/>
      <c r="Q194" s="2"/>
      <c r="R194" s="2"/>
      <c r="S194" s="2"/>
      <c r="T194" s="2"/>
    </row>
    <row r="195" spans="1:20" ht="20.25" customHeight="1" x14ac:dyDescent="0.2">
      <c r="A195" s="2"/>
      <c r="B195" s="2"/>
      <c r="C195" s="2"/>
      <c r="D195" s="2"/>
      <c r="E195" s="2"/>
      <c r="F195" s="2"/>
      <c r="G195" s="2"/>
      <c r="H195" s="2"/>
      <c r="I195" s="2"/>
      <c r="J195" s="2"/>
      <c r="K195" s="2"/>
      <c r="L195" s="2"/>
      <c r="M195" s="2"/>
      <c r="N195" s="2"/>
      <c r="O195" s="2"/>
      <c r="P195" s="2"/>
      <c r="Q195" s="2"/>
      <c r="R195" s="2"/>
      <c r="S195" s="2"/>
      <c r="T195" s="2"/>
    </row>
    <row r="196" spans="1:20" ht="20.25" customHeight="1" x14ac:dyDescent="0.2">
      <c r="A196" s="2"/>
      <c r="B196" s="2"/>
      <c r="C196" s="2"/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/>
      <c r="P196" s="2"/>
      <c r="Q196" s="2"/>
      <c r="R196" s="2"/>
      <c r="S196" s="2"/>
      <c r="T196" s="2"/>
    </row>
    <row r="197" spans="1:20" ht="20.25" customHeight="1" x14ac:dyDescent="0.2">
      <c r="A197" s="2"/>
      <c r="B197" s="2"/>
      <c r="C197" s="2"/>
      <c r="D197" s="2"/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/>
      <c r="P197" s="2"/>
      <c r="Q197" s="2"/>
      <c r="R197" s="2"/>
      <c r="S197" s="2"/>
      <c r="T197" s="2"/>
    </row>
    <row r="198" spans="1:20" ht="20.25" customHeight="1" x14ac:dyDescent="0.2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</row>
    <row r="199" spans="1:20" ht="20.25" customHeight="1" x14ac:dyDescent="0.2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</row>
    <row r="200" spans="1:20" ht="20.25" customHeight="1" x14ac:dyDescent="0.2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</row>
    <row r="201" spans="1:20" ht="20.25" customHeight="1" x14ac:dyDescent="0.2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</row>
    <row r="202" spans="1:20" ht="20.25" customHeight="1" x14ac:dyDescent="0.2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</row>
    <row r="203" spans="1:20" ht="20.25" customHeight="1" x14ac:dyDescent="0.2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</row>
    <row r="204" spans="1:20" ht="20.25" customHeight="1" x14ac:dyDescent="0.2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</row>
    <row r="205" spans="1:20" ht="20.25" customHeight="1" x14ac:dyDescent="0.2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</row>
    <row r="206" spans="1:20" ht="20.25" customHeight="1" x14ac:dyDescent="0.2">
      <c r="A206" s="2"/>
      <c r="B206" s="2"/>
      <c r="C206" s="2"/>
      <c r="D206" s="2"/>
      <c r="E206" s="2"/>
      <c r="F206" s="2"/>
      <c r="G206" s="2"/>
      <c r="H206" s="2"/>
      <c r="I206" s="2"/>
      <c r="J206" s="2"/>
      <c r="K206" s="2"/>
      <c r="L206" s="2"/>
      <c r="M206" s="2"/>
      <c r="N206" s="2"/>
      <c r="O206" s="2"/>
      <c r="P206" s="2"/>
      <c r="Q206" s="2"/>
      <c r="R206" s="2"/>
      <c r="S206" s="2"/>
      <c r="T206" s="2"/>
    </row>
    <row r="207" spans="1:20" ht="20.25" customHeight="1" x14ac:dyDescent="0.2">
      <c r="A207" s="2"/>
      <c r="B207" s="2"/>
      <c r="C207" s="2"/>
      <c r="D207" s="2"/>
      <c r="E207" s="2"/>
      <c r="F207" s="2"/>
      <c r="G207" s="2"/>
      <c r="H207" s="2"/>
      <c r="I207" s="2"/>
      <c r="J207" s="2"/>
      <c r="K207" s="2"/>
      <c r="L207" s="2"/>
      <c r="M207" s="2"/>
      <c r="N207" s="2"/>
      <c r="O207" s="2"/>
      <c r="P207" s="2"/>
      <c r="Q207" s="2"/>
      <c r="R207" s="2"/>
      <c r="S207" s="2"/>
      <c r="T207" s="2"/>
    </row>
    <row r="208" spans="1:20" ht="20.25" customHeight="1" x14ac:dyDescent="0.2">
      <c r="A208" s="2"/>
      <c r="B208" s="2"/>
      <c r="C208" s="2"/>
      <c r="D208" s="2"/>
      <c r="E208" s="2"/>
      <c r="F208" s="2"/>
      <c r="G208" s="2"/>
      <c r="H208" s="2"/>
      <c r="I208" s="2"/>
      <c r="J208" s="2"/>
      <c r="K208" s="2"/>
      <c r="L208" s="2"/>
      <c r="M208" s="2"/>
      <c r="N208" s="2"/>
      <c r="O208" s="2"/>
      <c r="P208" s="2"/>
      <c r="Q208" s="2"/>
      <c r="R208" s="2"/>
      <c r="S208" s="2"/>
      <c r="T208" s="2"/>
    </row>
    <row r="209" spans="1:20" ht="20.25" customHeight="1" x14ac:dyDescent="0.2">
      <c r="A209" s="2"/>
      <c r="B209" s="2"/>
      <c r="C209" s="2"/>
      <c r="D209" s="2"/>
      <c r="E209" s="2"/>
      <c r="F209" s="2"/>
      <c r="G209" s="2"/>
      <c r="H209" s="2"/>
      <c r="I209" s="2"/>
      <c r="J209" s="2"/>
      <c r="K209" s="2"/>
      <c r="L209" s="2"/>
      <c r="M209" s="2"/>
      <c r="N209" s="2"/>
      <c r="O209" s="2"/>
      <c r="P209" s="2"/>
      <c r="Q209" s="2"/>
      <c r="R209" s="2"/>
      <c r="S209" s="2"/>
      <c r="T209" s="2"/>
    </row>
    <row r="210" spans="1:20" ht="20.25" customHeight="1" x14ac:dyDescent="0.2">
      <c r="A210" s="2"/>
      <c r="B210" s="2"/>
      <c r="C210" s="2"/>
      <c r="D210" s="2"/>
      <c r="E210" s="2"/>
      <c r="F210" s="2"/>
      <c r="G210" s="2"/>
      <c r="H210" s="2"/>
      <c r="I210" s="2"/>
      <c r="J210" s="2"/>
      <c r="K210" s="2"/>
      <c r="L210" s="2"/>
      <c r="M210" s="2"/>
      <c r="N210" s="2"/>
      <c r="O210" s="2"/>
      <c r="P210" s="2"/>
      <c r="Q210" s="2"/>
      <c r="R210" s="2"/>
      <c r="S210" s="2"/>
      <c r="T210" s="2"/>
    </row>
    <row r="211" spans="1:20" ht="20.25" customHeight="1" x14ac:dyDescent="0.2">
      <c r="A211" s="2"/>
      <c r="B211" s="2"/>
      <c r="C211" s="2"/>
      <c r="D211" s="2"/>
      <c r="E211" s="2"/>
      <c r="F211" s="2"/>
      <c r="G211" s="2"/>
      <c r="H211" s="2"/>
      <c r="I211" s="2"/>
      <c r="J211" s="2"/>
      <c r="K211" s="2"/>
      <c r="L211" s="2"/>
      <c r="M211" s="2"/>
      <c r="N211" s="2"/>
      <c r="O211" s="2"/>
      <c r="P211" s="2"/>
      <c r="Q211" s="2"/>
      <c r="R211" s="2"/>
      <c r="S211" s="2"/>
      <c r="T211" s="2"/>
    </row>
    <row r="212" spans="1:20" ht="20.25" customHeight="1" x14ac:dyDescent="0.2">
      <c r="A212" s="2"/>
      <c r="B212" s="2"/>
      <c r="C212" s="2"/>
      <c r="D212" s="2"/>
      <c r="E212" s="2"/>
      <c r="F212" s="2"/>
      <c r="G212" s="2"/>
      <c r="H212" s="2"/>
      <c r="I212" s="2"/>
      <c r="J212" s="2"/>
      <c r="K212" s="2"/>
      <c r="L212" s="2"/>
      <c r="M212" s="2"/>
      <c r="N212" s="2"/>
      <c r="O212" s="2"/>
      <c r="P212" s="2"/>
      <c r="Q212" s="2"/>
      <c r="R212" s="2"/>
      <c r="S212" s="2"/>
      <c r="T212" s="2"/>
    </row>
    <row r="213" spans="1:20" ht="20.25" customHeight="1" x14ac:dyDescent="0.2">
      <c r="A213" s="2"/>
      <c r="B213" s="2"/>
      <c r="C213" s="2"/>
      <c r="D213" s="2"/>
      <c r="E213" s="2"/>
      <c r="F213" s="2"/>
      <c r="G213" s="2"/>
      <c r="H213" s="2"/>
      <c r="I213" s="2"/>
      <c r="J213" s="2"/>
      <c r="K213" s="2"/>
      <c r="L213" s="2"/>
      <c r="M213" s="2"/>
      <c r="N213" s="2"/>
      <c r="O213" s="2"/>
      <c r="P213" s="2"/>
      <c r="Q213" s="2"/>
      <c r="R213" s="2"/>
      <c r="S213" s="2"/>
      <c r="T213" s="2"/>
    </row>
    <row r="214" spans="1:20" ht="20.25" customHeight="1" x14ac:dyDescent="0.2">
      <c r="A214" s="2"/>
      <c r="B214" s="2"/>
      <c r="C214" s="2"/>
      <c r="D214" s="2"/>
      <c r="E214" s="2"/>
      <c r="F214" s="2"/>
      <c r="G214" s="2"/>
      <c r="H214" s="2"/>
      <c r="I214" s="2"/>
      <c r="J214" s="2"/>
      <c r="K214" s="2"/>
      <c r="L214" s="2"/>
      <c r="M214" s="2"/>
      <c r="N214" s="2"/>
      <c r="O214" s="2"/>
      <c r="P214" s="2"/>
      <c r="Q214" s="2"/>
      <c r="R214" s="2"/>
      <c r="S214" s="2"/>
      <c r="T214" s="2"/>
    </row>
    <row r="215" spans="1:20" ht="20.25" customHeight="1" x14ac:dyDescent="0.2">
      <c r="A215" s="2"/>
      <c r="B215" s="2"/>
      <c r="C215" s="2"/>
      <c r="D215" s="2"/>
      <c r="E215" s="2"/>
      <c r="F215" s="2"/>
      <c r="G215" s="2"/>
      <c r="H215" s="2"/>
      <c r="I215" s="2"/>
      <c r="J215" s="2"/>
      <c r="K215" s="2"/>
      <c r="L215" s="2"/>
      <c r="M215" s="2"/>
      <c r="N215" s="2"/>
      <c r="O215" s="2"/>
      <c r="P215" s="2"/>
      <c r="Q215" s="2"/>
      <c r="R215" s="2"/>
      <c r="S215" s="2"/>
      <c r="T215" s="2"/>
    </row>
    <row r="216" spans="1:20" ht="20.25" customHeight="1" x14ac:dyDescent="0.2">
      <c r="A216" s="2"/>
      <c r="B216" s="2"/>
      <c r="C216" s="2"/>
      <c r="D216" s="2"/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/>
      <c r="P216" s="2"/>
      <c r="Q216" s="2"/>
      <c r="R216" s="2"/>
      <c r="S216" s="2"/>
      <c r="T216" s="2"/>
    </row>
    <row r="217" spans="1:20" ht="20.25" customHeight="1" x14ac:dyDescent="0.2">
      <c r="A217" s="2"/>
      <c r="B217" s="2"/>
      <c r="C217" s="2"/>
      <c r="D217" s="2"/>
      <c r="E217" s="2"/>
      <c r="F217" s="2"/>
      <c r="G217" s="2"/>
      <c r="H217" s="2"/>
      <c r="I217" s="2"/>
      <c r="J217" s="2"/>
      <c r="K217" s="2"/>
      <c r="L217" s="2"/>
      <c r="M217" s="2"/>
      <c r="N217" s="2"/>
      <c r="O217" s="2"/>
      <c r="P217" s="2"/>
      <c r="Q217" s="2"/>
      <c r="R217" s="2"/>
      <c r="S217" s="2"/>
      <c r="T217" s="2"/>
    </row>
    <row r="218" spans="1:20" ht="20.25" customHeight="1" x14ac:dyDescent="0.2">
      <c r="A218" s="2"/>
      <c r="B218" s="2"/>
      <c r="C218" s="2"/>
      <c r="D218" s="2"/>
      <c r="E218" s="2"/>
      <c r="F218" s="2"/>
      <c r="G218" s="2"/>
      <c r="H218" s="2"/>
      <c r="I218" s="2"/>
      <c r="J218" s="2"/>
      <c r="K218" s="2"/>
      <c r="L218" s="2"/>
      <c r="M218" s="2"/>
      <c r="N218" s="2"/>
      <c r="O218" s="2"/>
      <c r="P218" s="2"/>
      <c r="Q218" s="2"/>
      <c r="R218" s="2"/>
      <c r="S218" s="2"/>
      <c r="T218" s="2"/>
    </row>
    <row r="219" spans="1:20" ht="20.25" customHeight="1" x14ac:dyDescent="0.2">
      <c r="A219" s="2"/>
      <c r="B219" s="2"/>
      <c r="C219" s="2"/>
      <c r="D219" s="2"/>
      <c r="E219" s="2"/>
      <c r="F219" s="2"/>
      <c r="G219" s="2"/>
      <c r="H219" s="2"/>
      <c r="I219" s="2"/>
      <c r="J219" s="2"/>
      <c r="K219" s="2"/>
      <c r="L219" s="2"/>
      <c r="M219" s="2"/>
      <c r="N219" s="2"/>
      <c r="O219" s="2"/>
      <c r="P219" s="2"/>
      <c r="Q219" s="2"/>
      <c r="R219" s="2"/>
      <c r="S219" s="2"/>
      <c r="T219" s="2"/>
    </row>
  </sheetData>
  <dataConsolidate/>
  <conditionalFormatting sqref="B19:F19 I19:M19">
    <cfRule type="cellIs" dxfId="98" priority="6" operator="greaterThan">
      <formula>8</formula>
    </cfRule>
    <cfRule type="cellIs" dxfId="97" priority="7" operator="equal">
      <formula>8</formula>
    </cfRule>
  </conditionalFormatting>
  <conditionalFormatting sqref="P7:P18">
    <cfRule type="cellIs" dxfId="96" priority="5" operator="greaterThan">
      <formula>80</formula>
    </cfRule>
  </conditionalFormatting>
  <conditionalFormatting sqref="P19">
    <cfRule type="cellIs" dxfId="95" priority="4" operator="greaterThan">
      <formula>80</formula>
    </cfRule>
    <cfRule type="cellIs" dxfId="94" priority="8" operator="equal">
      <formula>80</formula>
    </cfRule>
  </conditionalFormatting>
  <conditionalFormatting sqref="H20">
    <cfRule type="cellIs" dxfId="93" priority="3" operator="greaterThan">
      <formula>40</formula>
    </cfRule>
    <cfRule type="cellIs" dxfId="92" priority="9" operator="equal">
      <formula>40</formula>
    </cfRule>
  </conditionalFormatting>
  <conditionalFormatting sqref="O20">
    <cfRule type="cellIs" dxfId="91" priority="2" operator="greaterThan">
      <formula>40</formula>
    </cfRule>
    <cfRule type="cellIs" dxfId="90" priority="10" operator="equal">
      <formula>40</formula>
    </cfRule>
  </conditionalFormatting>
  <conditionalFormatting sqref="G19:H19 N19:O19">
    <cfRule type="cellIs" dxfId="8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836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8369" r:id="rId4" name="btnAddActivity"/>
      </mc:Fallback>
    </mc:AlternateContent>
  </control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T218"/>
  <sheetViews>
    <sheetView workbookViewId="0">
      <selection activeCell="K10" sqref="K10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February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INDEX(Refs!D:D,MATCH('FY13-03'!B1 &amp; 'FY13-03'!B2,Refs!K:K,0))</f>
        <v>41295</v>
      </c>
      <c r="C5" s="12">
        <f>B5+1</f>
        <v>41296</v>
      </c>
      <c r="D5" s="12">
        <f t="shared" ref="D5:O5" si="0">C5+1</f>
        <v>41297</v>
      </c>
      <c r="E5" s="12">
        <f t="shared" si="0"/>
        <v>41298</v>
      </c>
      <c r="F5" s="12">
        <f t="shared" si="0"/>
        <v>41299</v>
      </c>
      <c r="G5" s="12">
        <f t="shared" si="0"/>
        <v>41300</v>
      </c>
      <c r="H5" s="12">
        <f t="shared" si="0"/>
        <v>41301</v>
      </c>
      <c r="I5" s="12">
        <f t="shared" si="0"/>
        <v>41302</v>
      </c>
      <c r="J5" s="12">
        <f t="shared" si="0"/>
        <v>41303</v>
      </c>
      <c r="K5" s="12">
        <f t="shared" si="0"/>
        <v>41304</v>
      </c>
      <c r="L5" s="12">
        <f t="shared" si="0"/>
        <v>41305</v>
      </c>
      <c r="M5" s="12">
        <f t="shared" si="0"/>
        <v>41306</v>
      </c>
      <c r="N5" s="12">
        <f t="shared" si="0"/>
        <v>41307</v>
      </c>
      <c r="O5" s="12">
        <f t="shared" si="0"/>
        <v>41308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>
        <v>2</v>
      </c>
      <c r="D7" s="24"/>
      <c r="E7" s="24">
        <v>1.75</v>
      </c>
      <c r="F7" s="24">
        <v>0.5</v>
      </c>
      <c r="G7" s="24"/>
      <c r="H7" s="24"/>
      <c r="I7" s="24">
        <v>1.5</v>
      </c>
      <c r="J7" s="24">
        <v>1.25</v>
      </c>
      <c r="K7" s="24"/>
      <c r="L7" s="24"/>
      <c r="M7" s="24">
        <v>1</v>
      </c>
      <c r="N7" s="24"/>
      <c r="O7" s="24"/>
      <c r="P7" s="25">
        <f t="shared" ref="P7:P17" si="1">SUM(B7:O7)</f>
        <v>8</v>
      </c>
    </row>
    <row r="8" spans="1:16" ht="20.25" customHeight="1" x14ac:dyDescent="0.25">
      <c r="A8" s="23" t="s">
        <v>28</v>
      </c>
      <c r="B8" s="24"/>
      <c r="C8" s="24">
        <v>3</v>
      </c>
      <c r="D8" s="24">
        <v>3</v>
      </c>
      <c r="E8" s="24">
        <v>2.25</v>
      </c>
      <c r="F8" s="24">
        <v>4.25</v>
      </c>
      <c r="G8" s="24"/>
      <c r="H8" s="24"/>
      <c r="I8" s="24">
        <v>3</v>
      </c>
      <c r="J8" s="24">
        <v>2</v>
      </c>
      <c r="K8" s="24"/>
      <c r="L8" s="24"/>
      <c r="M8" s="24">
        <v>3</v>
      </c>
      <c r="N8" s="24"/>
      <c r="O8" s="24"/>
      <c r="P8" s="25">
        <f t="shared" si="1"/>
        <v>20.5</v>
      </c>
    </row>
    <row r="9" spans="1:16" ht="20.25" customHeight="1" x14ac:dyDescent="0.25">
      <c r="A9" s="23" t="s">
        <v>25</v>
      </c>
      <c r="B9" s="24"/>
      <c r="C9" s="24"/>
      <c r="D9" s="24"/>
      <c r="E9" s="24"/>
      <c r="F9" s="24"/>
      <c r="G9" s="24"/>
      <c r="H9" s="24"/>
      <c r="I9" s="24">
        <v>1.5</v>
      </c>
      <c r="J9" s="24"/>
      <c r="K9" s="24"/>
      <c r="L9" s="24"/>
      <c r="M9" s="24"/>
      <c r="N9" s="24"/>
      <c r="O9" s="24"/>
      <c r="P9" s="25">
        <f t="shared" si="1"/>
        <v>1.5</v>
      </c>
    </row>
    <row r="10" spans="1:16" ht="20.25" customHeight="1" x14ac:dyDescent="0.25">
      <c r="A10" s="23" t="s">
        <v>50</v>
      </c>
      <c r="B10" s="24"/>
      <c r="C10" s="24"/>
      <c r="D10" s="24"/>
      <c r="E10" s="24"/>
      <c r="F10" s="24"/>
      <c r="G10" s="24"/>
      <c r="H10" s="24"/>
      <c r="I10" s="24"/>
      <c r="J10" s="24"/>
      <c r="K10" s="24"/>
      <c r="L10" s="24"/>
      <c r="M10" s="24">
        <v>0.75</v>
      </c>
      <c r="N10" s="24"/>
      <c r="O10" s="24"/>
      <c r="P10" s="25">
        <f t="shared" si="1"/>
        <v>0.75</v>
      </c>
    </row>
    <row r="11" spans="1:16" ht="20.25" customHeight="1" x14ac:dyDescent="0.25">
      <c r="A11" s="23" t="s">
        <v>20</v>
      </c>
      <c r="B11" s="24"/>
      <c r="C11" s="24">
        <v>1.5</v>
      </c>
      <c r="D11" s="24">
        <v>2.5</v>
      </c>
      <c r="E11" s="24">
        <v>2.25</v>
      </c>
      <c r="F11" s="24">
        <v>2.25</v>
      </c>
      <c r="G11" s="24"/>
      <c r="H11" s="24"/>
      <c r="I11" s="24"/>
      <c r="J11" s="24"/>
      <c r="K11" s="24"/>
      <c r="L11" s="24"/>
      <c r="M11" s="24">
        <v>1.75</v>
      </c>
      <c r="N11" s="24"/>
      <c r="O11" s="24"/>
      <c r="P11" s="25">
        <f t="shared" si="1"/>
        <v>10.25</v>
      </c>
    </row>
    <row r="12" spans="1:16" ht="20.25" customHeight="1" x14ac:dyDescent="0.25">
      <c r="A12" s="23" t="s">
        <v>19</v>
      </c>
      <c r="B12" s="24"/>
      <c r="C12" s="24">
        <v>1.5</v>
      </c>
      <c r="D12" s="24"/>
      <c r="E12" s="24"/>
      <c r="F12" s="24">
        <v>1</v>
      </c>
      <c r="G12" s="24"/>
      <c r="H12" s="24"/>
      <c r="I12" s="24">
        <v>2</v>
      </c>
      <c r="J12" s="24"/>
      <c r="K12" s="24"/>
      <c r="L12" s="24"/>
      <c r="M12" s="24"/>
      <c r="N12" s="24"/>
      <c r="O12" s="24"/>
      <c r="P12" s="25">
        <f t="shared" si="1"/>
        <v>4.5</v>
      </c>
    </row>
    <row r="13" spans="1:16" ht="20.25" customHeight="1" x14ac:dyDescent="0.25">
      <c r="A13" s="23" t="s">
        <v>52</v>
      </c>
      <c r="B13" s="24"/>
      <c r="C13" s="24"/>
      <c r="D13" s="24"/>
      <c r="E13" s="24">
        <v>1.5</v>
      </c>
      <c r="F13" s="24"/>
      <c r="G13" s="24"/>
      <c r="H13" s="24"/>
      <c r="I13" s="24"/>
      <c r="J13" s="24">
        <v>1.5</v>
      </c>
      <c r="K13" s="24"/>
      <c r="L13" s="24"/>
      <c r="M13" s="24">
        <v>1.5</v>
      </c>
      <c r="N13" s="24"/>
      <c r="O13" s="24"/>
      <c r="P13" s="25">
        <f t="shared" si="1"/>
        <v>4.5</v>
      </c>
    </row>
    <row r="14" spans="1:16" ht="20.25" customHeight="1" x14ac:dyDescent="0.25">
      <c r="A14" s="23" t="s">
        <v>29</v>
      </c>
      <c r="B14" s="24"/>
      <c r="C14" s="24"/>
      <c r="D14" s="24">
        <v>0.75</v>
      </c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5">
        <f t="shared" si="1"/>
        <v>0.75</v>
      </c>
    </row>
    <row r="15" spans="1:16" ht="20.25" customHeight="1" x14ac:dyDescent="0.25">
      <c r="A15" s="23" t="s">
        <v>27</v>
      </c>
      <c r="B15" s="24">
        <v>8</v>
      </c>
      <c r="C15" s="24"/>
      <c r="D15" s="24"/>
      <c r="E15" s="24"/>
      <c r="F15" s="24"/>
      <c r="G15" s="24"/>
      <c r="H15" s="24"/>
      <c r="I15" s="24"/>
      <c r="J15" s="24"/>
      <c r="K15" s="24">
        <v>8</v>
      </c>
      <c r="L15" s="24">
        <v>8</v>
      </c>
      <c r="M15" s="24"/>
      <c r="N15" s="24"/>
      <c r="O15" s="24"/>
      <c r="P15" s="25">
        <f t="shared" si="1"/>
        <v>24</v>
      </c>
    </row>
    <row r="16" spans="1:16" ht="20.25" customHeight="1" x14ac:dyDescent="0.25">
      <c r="A16" s="23" t="s">
        <v>23</v>
      </c>
      <c r="B16" s="24"/>
      <c r="C16" s="24"/>
      <c r="D16" s="24"/>
      <c r="E16" s="24"/>
      <c r="F16" s="24"/>
      <c r="G16" s="24"/>
      <c r="H16" s="24"/>
      <c r="I16" s="24"/>
      <c r="J16" s="24">
        <v>2.5</v>
      </c>
      <c r="K16" s="24"/>
      <c r="L16" s="24"/>
      <c r="M16" s="24"/>
      <c r="N16" s="24"/>
      <c r="O16" s="24"/>
      <c r="P16" s="25">
        <f t="shared" si="1"/>
        <v>2.5</v>
      </c>
    </row>
    <row r="17" spans="1:20" ht="20.25" customHeight="1" x14ac:dyDescent="0.25">
      <c r="A17" s="23" t="s">
        <v>18</v>
      </c>
      <c r="B17" s="24"/>
      <c r="C17" s="24"/>
      <c r="D17" s="24">
        <v>1.75</v>
      </c>
      <c r="E17" s="24">
        <v>0.25</v>
      </c>
      <c r="F17" s="24"/>
      <c r="G17" s="24"/>
      <c r="H17" s="24"/>
      <c r="I17" s="24"/>
      <c r="J17" s="24">
        <v>0.75</v>
      </c>
      <c r="K17" s="24"/>
      <c r="L17" s="24"/>
      <c r="M17" s="24"/>
      <c r="N17" s="24"/>
      <c r="O17" s="24"/>
      <c r="P17" s="25">
        <f t="shared" si="1"/>
        <v>2.75</v>
      </c>
    </row>
    <row r="18" spans="1:20" ht="20.25" customHeight="1" x14ac:dyDescent="0.2">
      <c r="A18" s="15" t="s">
        <v>38</v>
      </c>
      <c r="B18" s="14">
        <f t="shared" ref="B18:P18" si="2">SUM(B7:B17)</f>
        <v>8</v>
      </c>
      <c r="C18" s="14">
        <f t="shared" si="2"/>
        <v>8</v>
      </c>
      <c r="D18" s="14">
        <f t="shared" si="2"/>
        <v>8</v>
      </c>
      <c r="E18" s="14">
        <f t="shared" si="2"/>
        <v>8</v>
      </c>
      <c r="F18" s="14">
        <f t="shared" si="2"/>
        <v>8</v>
      </c>
      <c r="G18" s="14">
        <f t="shared" si="2"/>
        <v>0</v>
      </c>
      <c r="H18" s="14">
        <f t="shared" si="2"/>
        <v>0</v>
      </c>
      <c r="I18" s="14">
        <f t="shared" si="2"/>
        <v>8</v>
      </c>
      <c r="J18" s="14">
        <f t="shared" si="2"/>
        <v>8</v>
      </c>
      <c r="K18" s="14">
        <f t="shared" si="2"/>
        <v>8</v>
      </c>
      <c r="L18" s="14">
        <f t="shared" si="2"/>
        <v>8</v>
      </c>
      <c r="M18" s="14">
        <f t="shared" si="2"/>
        <v>8</v>
      </c>
      <c r="N18" s="14">
        <f t="shared" si="2"/>
        <v>0</v>
      </c>
      <c r="O18" s="14">
        <f t="shared" si="2"/>
        <v>0</v>
      </c>
      <c r="P18" s="14">
        <f t="shared" si="2"/>
        <v>80</v>
      </c>
    </row>
    <row r="19" spans="1:20" ht="20.25" customHeight="1" x14ac:dyDescent="0.25">
      <c r="A19"/>
      <c r="B19"/>
      <c r="C19"/>
      <c r="D19"/>
      <c r="E19"/>
      <c r="F19"/>
      <c r="G19" s="23" t="s">
        <v>59</v>
      </c>
      <c r="H19" s="14">
        <f>SUM(B18:H18)</f>
        <v>40</v>
      </c>
      <c r="I19"/>
      <c r="J19"/>
      <c r="K19"/>
      <c r="L19"/>
      <c r="M19"/>
      <c r="N19" s="23" t="s">
        <v>60</v>
      </c>
      <c r="O19" s="14">
        <f>SUM(I18:O18)</f>
        <v>40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dataConsolidate/>
  <conditionalFormatting sqref="B18:F18 I18:M18">
    <cfRule type="cellIs" dxfId="88" priority="6" operator="greaterThan">
      <formula>8</formula>
    </cfRule>
    <cfRule type="cellIs" dxfId="87" priority="287" operator="equal">
      <formula>8</formula>
    </cfRule>
  </conditionalFormatting>
  <conditionalFormatting sqref="P7:P17">
    <cfRule type="cellIs" dxfId="86" priority="5" operator="greaterThan">
      <formula>80</formula>
    </cfRule>
  </conditionalFormatting>
  <conditionalFormatting sqref="P18">
    <cfRule type="cellIs" dxfId="85" priority="4" operator="greaterThan">
      <formula>80</formula>
    </cfRule>
    <cfRule type="cellIs" dxfId="84" priority="288" operator="equal">
      <formula>80</formula>
    </cfRule>
  </conditionalFormatting>
  <conditionalFormatting sqref="H19">
    <cfRule type="cellIs" dxfId="83" priority="3" operator="greaterThan">
      <formula>40</formula>
    </cfRule>
    <cfRule type="cellIs" dxfId="82" priority="289" operator="equal">
      <formula>40</formula>
    </cfRule>
  </conditionalFormatting>
  <conditionalFormatting sqref="O19">
    <cfRule type="cellIs" dxfId="81" priority="2" operator="greaterThan">
      <formula>40</formula>
    </cfRule>
    <cfRule type="cellIs" dxfId="80" priority="290" operator="equal">
      <formula>40</formula>
    </cfRule>
  </conditionalFormatting>
  <conditionalFormatting sqref="G18:H18 N18:O18">
    <cfRule type="cellIs" dxfId="7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573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57345" r:id="rId4" name="btnAddActivity"/>
      </mc:Fallback>
    </mc:AlternateContent>
  </controls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T219"/>
  <sheetViews>
    <sheetView workbookViewId="0">
      <selection activeCell="M16" sqref="M16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January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INDEX(Refs!D:D,MATCH('FY13-02'!B1 &amp; 'FY13-02'!B2,Refs!K:K,0))</f>
        <v>41281</v>
      </c>
      <c r="C5" s="12">
        <f>B5+1</f>
        <v>41282</v>
      </c>
      <c r="D5" s="12">
        <f t="shared" ref="D5:O5" si="0">C5+1</f>
        <v>41283</v>
      </c>
      <c r="E5" s="12">
        <f t="shared" si="0"/>
        <v>41284</v>
      </c>
      <c r="F5" s="12">
        <f t="shared" si="0"/>
        <v>41285</v>
      </c>
      <c r="G5" s="12">
        <f t="shared" si="0"/>
        <v>41286</v>
      </c>
      <c r="H5" s="12">
        <f t="shared" si="0"/>
        <v>41287</v>
      </c>
      <c r="I5" s="12">
        <f t="shared" si="0"/>
        <v>41288</v>
      </c>
      <c r="J5" s="12">
        <f t="shared" si="0"/>
        <v>41289</v>
      </c>
      <c r="K5" s="12">
        <f t="shared" si="0"/>
        <v>41290</v>
      </c>
      <c r="L5" s="12">
        <f t="shared" si="0"/>
        <v>41291</v>
      </c>
      <c r="M5" s="12">
        <f t="shared" si="0"/>
        <v>41292</v>
      </c>
      <c r="N5" s="12">
        <f t="shared" si="0"/>
        <v>41293</v>
      </c>
      <c r="O5" s="12">
        <f t="shared" si="0"/>
        <v>41294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2</v>
      </c>
      <c r="C7" s="24">
        <v>2</v>
      </c>
      <c r="D7" s="24">
        <v>1</v>
      </c>
      <c r="E7" s="24">
        <v>1.25</v>
      </c>
      <c r="F7" s="24">
        <v>3.25</v>
      </c>
      <c r="G7" s="24"/>
      <c r="H7" s="24"/>
      <c r="I7" s="24"/>
      <c r="J7" s="24">
        <v>2.5</v>
      </c>
      <c r="K7" s="24"/>
      <c r="L7" s="24">
        <v>0.5</v>
      </c>
      <c r="M7" s="24">
        <v>0.75</v>
      </c>
      <c r="N7" s="24"/>
      <c r="O7" s="24"/>
      <c r="P7" s="25">
        <f t="shared" ref="P7:P18" si="1">SUM(B7:O7)</f>
        <v>13.25</v>
      </c>
    </row>
    <row r="8" spans="1:16" ht="20.25" customHeight="1" x14ac:dyDescent="0.25">
      <c r="A8" s="23" t="s">
        <v>28</v>
      </c>
      <c r="B8" s="24">
        <v>3.5</v>
      </c>
      <c r="C8" s="24">
        <v>0.5</v>
      </c>
      <c r="D8" s="24">
        <v>2.5</v>
      </c>
      <c r="E8" s="24">
        <v>1.5</v>
      </c>
      <c r="F8" s="24">
        <v>2.25</v>
      </c>
      <c r="G8" s="24"/>
      <c r="H8" s="24"/>
      <c r="I8" s="24">
        <v>2.25</v>
      </c>
      <c r="J8" s="24">
        <v>2.75</v>
      </c>
      <c r="K8" s="24">
        <v>2.75</v>
      </c>
      <c r="L8" s="24">
        <v>4.25</v>
      </c>
      <c r="M8" s="24">
        <v>1.5</v>
      </c>
      <c r="N8" s="24"/>
      <c r="O8" s="24"/>
      <c r="P8" s="25">
        <f t="shared" si="1"/>
        <v>23.75</v>
      </c>
    </row>
    <row r="9" spans="1:16" ht="20.25" customHeight="1" x14ac:dyDescent="0.25">
      <c r="A9" s="23" t="s">
        <v>25</v>
      </c>
      <c r="B9" s="24"/>
      <c r="C9" s="24"/>
      <c r="D9" s="24"/>
      <c r="E9" s="24"/>
      <c r="F9" s="24"/>
      <c r="G9" s="24"/>
      <c r="H9" s="24"/>
      <c r="I9" s="24">
        <v>1.5</v>
      </c>
      <c r="J9" s="24"/>
      <c r="K9" s="24"/>
      <c r="L9" s="24"/>
      <c r="M9" s="24"/>
      <c r="N9" s="24"/>
      <c r="O9" s="24"/>
      <c r="P9" s="25">
        <f t="shared" si="1"/>
        <v>1.5</v>
      </c>
    </row>
    <row r="10" spans="1:16" ht="20.25" customHeight="1" x14ac:dyDescent="0.25">
      <c r="A10" s="23" t="s">
        <v>26</v>
      </c>
      <c r="B10" s="24"/>
      <c r="C10" s="24">
        <v>2.5</v>
      </c>
      <c r="D10" s="24">
        <v>1.25</v>
      </c>
      <c r="E10" s="24"/>
      <c r="F10" s="24"/>
      <c r="G10" s="24"/>
      <c r="H10" s="24"/>
      <c r="I10" s="24"/>
      <c r="J10" s="24">
        <v>1.25</v>
      </c>
      <c r="K10" s="24"/>
      <c r="L10" s="24"/>
      <c r="M10" s="24"/>
      <c r="N10" s="24"/>
      <c r="O10" s="24"/>
      <c r="P10" s="25">
        <f t="shared" si="1"/>
        <v>5</v>
      </c>
    </row>
    <row r="11" spans="1:16" ht="20.25" customHeight="1" x14ac:dyDescent="0.25">
      <c r="A11" s="23" t="s">
        <v>20</v>
      </c>
      <c r="B11" s="24">
        <v>1.75</v>
      </c>
      <c r="C11" s="24">
        <v>2.25</v>
      </c>
      <c r="D11" s="24">
        <v>1.25</v>
      </c>
      <c r="E11" s="24">
        <v>1.75</v>
      </c>
      <c r="F11" s="24"/>
      <c r="G11" s="24"/>
      <c r="H11" s="24"/>
      <c r="I11" s="24">
        <v>2</v>
      </c>
      <c r="J11" s="24"/>
      <c r="K11" s="24">
        <v>2.5</v>
      </c>
      <c r="L11" s="24">
        <v>1</v>
      </c>
      <c r="M11" s="24">
        <v>0.75</v>
      </c>
      <c r="N11" s="24"/>
      <c r="O11" s="24"/>
      <c r="P11" s="25">
        <f t="shared" si="1"/>
        <v>13.25</v>
      </c>
    </row>
    <row r="12" spans="1:16" ht="20.25" customHeight="1" x14ac:dyDescent="0.25">
      <c r="A12" s="23" t="s">
        <v>21</v>
      </c>
      <c r="B12" s="24"/>
      <c r="C12" s="24"/>
      <c r="D12" s="24"/>
      <c r="E12" s="24">
        <v>3.25</v>
      </c>
      <c r="F12" s="24"/>
      <c r="G12" s="24"/>
      <c r="H12" s="24"/>
      <c r="I12" s="24"/>
      <c r="J12" s="24"/>
      <c r="K12" s="24"/>
      <c r="L12" s="24"/>
      <c r="M12" s="24">
        <v>4.5</v>
      </c>
      <c r="N12" s="24"/>
      <c r="O12" s="24"/>
      <c r="P12" s="25">
        <f t="shared" si="1"/>
        <v>7.75</v>
      </c>
    </row>
    <row r="13" spans="1:16" ht="20.25" customHeight="1" x14ac:dyDescent="0.25">
      <c r="A13" s="23" t="s">
        <v>19</v>
      </c>
      <c r="B13" s="24">
        <v>0.75</v>
      </c>
      <c r="C13" s="24"/>
      <c r="D13" s="24"/>
      <c r="E13" s="24"/>
      <c r="F13" s="24">
        <v>0.75</v>
      </c>
      <c r="G13" s="24"/>
      <c r="H13" s="24"/>
      <c r="I13" s="24">
        <v>1.5</v>
      </c>
      <c r="J13" s="24"/>
      <c r="K13" s="24">
        <v>0.25</v>
      </c>
      <c r="L13" s="24"/>
      <c r="M13" s="24"/>
      <c r="N13" s="24"/>
      <c r="O13" s="24"/>
      <c r="P13" s="25">
        <f t="shared" si="1"/>
        <v>3.25</v>
      </c>
    </row>
    <row r="14" spans="1:16" ht="20.25" customHeight="1" x14ac:dyDescent="0.25">
      <c r="A14" s="23" t="s">
        <v>52</v>
      </c>
      <c r="B14" s="24"/>
      <c r="C14" s="24"/>
      <c r="D14" s="24"/>
      <c r="E14" s="24"/>
      <c r="F14" s="24">
        <v>1.75</v>
      </c>
      <c r="G14" s="24"/>
      <c r="H14" s="24"/>
      <c r="I14" s="24">
        <v>0.25</v>
      </c>
      <c r="J14" s="24">
        <v>0.75</v>
      </c>
      <c r="K14" s="24"/>
      <c r="L14" s="24">
        <v>1</v>
      </c>
      <c r="M14" s="24"/>
      <c r="N14" s="24"/>
      <c r="O14" s="24"/>
      <c r="P14" s="25">
        <f t="shared" si="1"/>
        <v>3.75</v>
      </c>
    </row>
    <row r="15" spans="1:16" ht="20.25" customHeight="1" x14ac:dyDescent="0.25">
      <c r="A15" s="23" t="s">
        <v>42</v>
      </c>
      <c r="B15" s="24"/>
      <c r="C15" s="24"/>
      <c r="D15" s="24"/>
      <c r="E15" s="24"/>
      <c r="F15" s="24"/>
      <c r="G15" s="24"/>
      <c r="H15" s="24"/>
      <c r="I15" s="24"/>
      <c r="J15" s="24"/>
      <c r="K15" s="24"/>
      <c r="L15" s="24"/>
      <c r="M15" s="24"/>
      <c r="N15" s="24">
        <v>5.75</v>
      </c>
      <c r="O15" s="24"/>
      <c r="P15" s="25">
        <f t="shared" si="1"/>
        <v>5.75</v>
      </c>
    </row>
    <row r="16" spans="1:16" ht="20.25" customHeight="1" x14ac:dyDescent="0.25">
      <c r="A16" s="23" t="s">
        <v>27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>
        <v>-2</v>
      </c>
      <c r="N16" s="24"/>
      <c r="O16" s="24"/>
      <c r="P16" s="25">
        <f t="shared" si="1"/>
        <v>-2</v>
      </c>
    </row>
    <row r="17" spans="1:20" ht="20.25" customHeight="1" x14ac:dyDescent="0.25">
      <c r="A17" s="23" t="s">
        <v>23</v>
      </c>
      <c r="B17" s="24"/>
      <c r="C17" s="24"/>
      <c r="D17" s="24">
        <v>2</v>
      </c>
      <c r="E17" s="24"/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5">
        <f t="shared" si="1"/>
        <v>2</v>
      </c>
    </row>
    <row r="18" spans="1:20" ht="20.25" customHeight="1" x14ac:dyDescent="0.25">
      <c r="A18" s="23" t="s">
        <v>18</v>
      </c>
      <c r="B18" s="24"/>
      <c r="C18" s="24">
        <v>0.75</v>
      </c>
      <c r="D18" s="24"/>
      <c r="E18" s="24">
        <v>0.25</v>
      </c>
      <c r="F18" s="24"/>
      <c r="G18" s="24"/>
      <c r="H18" s="24"/>
      <c r="I18" s="24">
        <v>0.5</v>
      </c>
      <c r="J18" s="24">
        <v>0.75</v>
      </c>
      <c r="K18" s="24">
        <v>2.5</v>
      </c>
      <c r="L18" s="24">
        <v>1.25</v>
      </c>
      <c r="M18" s="24">
        <v>1.5</v>
      </c>
      <c r="N18" s="24"/>
      <c r="O18" s="24"/>
      <c r="P18" s="25">
        <f t="shared" si="1"/>
        <v>7.5</v>
      </c>
    </row>
    <row r="19" spans="1:20" ht="20.25" customHeight="1" x14ac:dyDescent="0.2">
      <c r="A19" s="15" t="s">
        <v>38</v>
      </c>
      <c r="B19" s="14">
        <f t="shared" ref="B19:P19" si="2">SUM(B7:B18)</f>
        <v>8</v>
      </c>
      <c r="C19" s="14">
        <f t="shared" si="2"/>
        <v>8</v>
      </c>
      <c r="D19" s="14">
        <f t="shared" si="2"/>
        <v>8</v>
      </c>
      <c r="E19" s="14">
        <f t="shared" si="2"/>
        <v>8</v>
      </c>
      <c r="F19" s="14">
        <f t="shared" si="2"/>
        <v>8</v>
      </c>
      <c r="G19" s="14">
        <f t="shared" si="2"/>
        <v>0</v>
      </c>
      <c r="H19" s="14">
        <f t="shared" si="2"/>
        <v>0</v>
      </c>
      <c r="I19" s="14">
        <f t="shared" si="2"/>
        <v>8</v>
      </c>
      <c r="J19" s="14">
        <f t="shared" si="2"/>
        <v>8</v>
      </c>
      <c r="K19" s="14">
        <f t="shared" si="2"/>
        <v>8</v>
      </c>
      <c r="L19" s="14">
        <f t="shared" si="2"/>
        <v>8</v>
      </c>
      <c r="M19" s="14">
        <f t="shared" si="2"/>
        <v>7</v>
      </c>
      <c r="N19" s="14">
        <f t="shared" si="2"/>
        <v>5.75</v>
      </c>
      <c r="O19" s="14">
        <f t="shared" si="2"/>
        <v>0</v>
      </c>
      <c r="P19" s="14">
        <f t="shared" si="2"/>
        <v>84.75</v>
      </c>
    </row>
    <row r="20" spans="1:20" ht="20.25" customHeight="1" x14ac:dyDescent="0.25">
      <c r="A20"/>
      <c r="B20"/>
      <c r="C20"/>
      <c r="D20"/>
      <c r="E20"/>
      <c r="F20"/>
      <c r="G20" s="23" t="s">
        <v>59</v>
      </c>
      <c r="H20" s="14">
        <f>SUM(B19:H19)</f>
        <v>40</v>
      </c>
      <c r="I20"/>
      <c r="J20"/>
      <c r="K20"/>
      <c r="L20"/>
      <c r="M20"/>
      <c r="N20" s="23" t="s">
        <v>60</v>
      </c>
      <c r="O20" s="14">
        <f>SUM(I19:O19)</f>
        <v>44.75</v>
      </c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</sheetData>
  <sortState ref="A7:P18">
    <sortCondition ref="A7:A18"/>
  </sortState>
  <dataConsolidate/>
  <conditionalFormatting sqref="B19:F19 I19:M19">
    <cfRule type="cellIs" dxfId="78" priority="6" operator="greaterThan">
      <formula>8</formula>
    </cfRule>
    <cfRule type="cellIs" dxfId="77" priority="391" operator="equal">
      <formula>8</formula>
    </cfRule>
  </conditionalFormatting>
  <conditionalFormatting sqref="P7:P18">
    <cfRule type="cellIs" dxfId="76" priority="5" operator="greaterThan">
      <formula>80</formula>
    </cfRule>
  </conditionalFormatting>
  <conditionalFormatting sqref="P19">
    <cfRule type="cellIs" dxfId="75" priority="4" operator="greaterThan">
      <formula>80</formula>
    </cfRule>
    <cfRule type="cellIs" dxfId="74" priority="392" operator="equal">
      <formula>80</formula>
    </cfRule>
  </conditionalFormatting>
  <conditionalFormatting sqref="H20">
    <cfRule type="cellIs" dxfId="73" priority="3" operator="greaterThan">
      <formula>40</formula>
    </cfRule>
    <cfRule type="cellIs" dxfId="72" priority="393" operator="equal">
      <formula>40</formula>
    </cfRule>
  </conditionalFormatting>
  <conditionalFormatting sqref="O20">
    <cfRule type="cellIs" dxfId="71" priority="2" operator="greaterThan">
      <formula>40</formula>
    </cfRule>
    <cfRule type="cellIs" dxfId="70" priority="394" operator="equal">
      <formula>40</formula>
    </cfRule>
  </conditionalFormatting>
  <conditionalFormatting sqref="G19:H19 N19:O19">
    <cfRule type="cellIs" dxfId="6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403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4033" r:id="rId4" name="btnAddActivity"/>
      </mc:Fallback>
    </mc:AlternateContent>
  </controls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T216"/>
  <sheetViews>
    <sheetView workbookViewId="0">
      <selection activeCell="E9" sqref="E9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tr">
        <f>INDEX(Refs!I:I,MATCH(B1 &amp; B2,Refs!K:K,0))</f>
        <v>January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f>INDEX(Refs!D:D,MATCH('FY13-01'!B1 &amp; 'FY13-01'!B2,Refs!K:K,0))</f>
        <v>41267</v>
      </c>
      <c r="C5" s="12">
        <f>B5+1</f>
        <v>41268</v>
      </c>
      <c r="D5" s="12">
        <f t="shared" ref="D5:O5" si="0">C5+1</f>
        <v>41269</v>
      </c>
      <c r="E5" s="12">
        <f t="shared" si="0"/>
        <v>41270</v>
      </c>
      <c r="F5" s="12">
        <f t="shared" si="0"/>
        <v>41271</v>
      </c>
      <c r="G5" s="12">
        <f t="shared" si="0"/>
        <v>41272</v>
      </c>
      <c r="H5" s="12">
        <f t="shared" si="0"/>
        <v>41273</v>
      </c>
      <c r="I5" s="12">
        <f t="shared" si="0"/>
        <v>41274</v>
      </c>
      <c r="J5" s="12">
        <f t="shared" si="0"/>
        <v>41275</v>
      </c>
      <c r="K5" s="12">
        <f t="shared" si="0"/>
        <v>41276</v>
      </c>
      <c r="L5" s="12">
        <f t="shared" si="0"/>
        <v>41277</v>
      </c>
      <c r="M5" s="12">
        <f t="shared" si="0"/>
        <v>41278</v>
      </c>
      <c r="N5" s="12">
        <f t="shared" si="0"/>
        <v>41279</v>
      </c>
      <c r="O5" s="12">
        <f t="shared" si="0"/>
        <v>41280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3</v>
      </c>
      <c r="C7" s="24"/>
      <c r="D7" s="24"/>
      <c r="E7" s="24">
        <v>1.75</v>
      </c>
      <c r="F7" s="24">
        <v>1.5</v>
      </c>
      <c r="G7" s="24"/>
      <c r="H7" s="24"/>
      <c r="I7" s="24"/>
      <c r="J7" s="24"/>
      <c r="K7" s="24"/>
      <c r="L7" s="24"/>
      <c r="M7" s="24"/>
      <c r="N7" s="24"/>
      <c r="O7" s="24"/>
      <c r="P7" s="25">
        <f t="shared" ref="P7:P15" si="1">SUM(B7:O7)</f>
        <v>6.25</v>
      </c>
    </row>
    <row r="8" spans="1:16" ht="20.25" customHeight="1" x14ac:dyDescent="0.25">
      <c r="A8" s="23" t="s">
        <v>28</v>
      </c>
      <c r="B8" s="24">
        <v>3.25</v>
      </c>
      <c r="C8" s="24"/>
      <c r="D8" s="24"/>
      <c r="E8" s="24">
        <v>2.25</v>
      </c>
      <c r="F8" s="24">
        <v>3.5</v>
      </c>
      <c r="G8" s="24"/>
      <c r="H8" s="24"/>
      <c r="I8" s="24"/>
      <c r="J8" s="24"/>
      <c r="K8" s="24"/>
      <c r="L8" s="24"/>
      <c r="M8" s="24"/>
      <c r="N8" s="24"/>
      <c r="O8" s="24"/>
      <c r="P8" s="25">
        <f t="shared" si="1"/>
        <v>9</v>
      </c>
    </row>
    <row r="9" spans="1:16" ht="20.25" customHeight="1" x14ac:dyDescent="0.25">
      <c r="A9" s="23" t="s">
        <v>25</v>
      </c>
      <c r="B9" s="24"/>
      <c r="C9" s="24"/>
      <c r="D9" s="24"/>
      <c r="E9" s="24">
        <v>1.5</v>
      </c>
      <c r="F9" s="24"/>
      <c r="G9" s="24"/>
      <c r="H9" s="24"/>
      <c r="I9" s="24"/>
      <c r="J9" s="24"/>
      <c r="K9" s="24"/>
      <c r="L9" s="24"/>
      <c r="M9" s="24"/>
      <c r="N9" s="24"/>
      <c r="O9" s="24"/>
      <c r="P9" s="25">
        <f t="shared" si="1"/>
        <v>1.5</v>
      </c>
    </row>
    <row r="10" spans="1:16" ht="20.25" customHeight="1" x14ac:dyDescent="0.25">
      <c r="A10" s="23" t="s">
        <v>26</v>
      </c>
      <c r="B10" s="24"/>
      <c r="C10" s="24"/>
      <c r="D10" s="24"/>
      <c r="E10" s="24"/>
      <c r="F10" s="24">
        <v>0.75</v>
      </c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0.75</v>
      </c>
    </row>
    <row r="11" spans="1:16" ht="20.25" customHeight="1" x14ac:dyDescent="0.25">
      <c r="A11" s="23" t="s">
        <v>20</v>
      </c>
      <c r="B11" s="24">
        <v>1</v>
      </c>
      <c r="C11" s="24"/>
      <c r="D11" s="24"/>
      <c r="E11" s="24"/>
      <c r="F11" s="24"/>
      <c r="G11" s="24"/>
      <c r="H11" s="24"/>
      <c r="I11" s="24"/>
      <c r="J11" s="24"/>
      <c r="K11" s="24"/>
      <c r="L11" s="24"/>
      <c r="M11" s="24"/>
      <c r="N11" s="24"/>
      <c r="O11" s="24"/>
      <c r="P11" s="25">
        <f t="shared" si="1"/>
        <v>1</v>
      </c>
    </row>
    <row r="12" spans="1:16" ht="20.25" customHeight="1" x14ac:dyDescent="0.25">
      <c r="A12" s="23" t="s">
        <v>19</v>
      </c>
      <c r="B12" s="24"/>
      <c r="C12" s="24"/>
      <c r="D12" s="24"/>
      <c r="E12" s="24">
        <v>0.25</v>
      </c>
      <c r="F12" s="24">
        <v>0.25</v>
      </c>
      <c r="G12" s="24"/>
      <c r="H12" s="24"/>
      <c r="I12" s="24"/>
      <c r="J12" s="24"/>
      <c r="K12" s="24"/>
      <c r="L12" s="24"/>
      <c r="M12" s="24"/>
      <c r="N12" s="24"/>
      <c r="O12" s="24"/>
      <c r="P12" s="25">
        <f t="shared" si="1"/>
        <v>0.5</v>
      </c>
    </row>
    <row r="13" spans="1:16" ht="20.25" customHeight="1" x14ac:dyDescent="0.25">
      <c r="A13" s="23" t="s">
        <v>52</v>
      </c>
      <c r="B13" s="24"/>
      <c r="C13" s="24"/>
      <c r="D13" s="24"/>
      <c r="E13" s="24">
        <v>0.75</v>
      </c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5">
        <f t="shared" si="1"/>
        <v>0.75</v>
      </c>
    </row>
    <row r="14" spans="1:16" ht="20.25" customHeight="1" x14ac:dyDescent="0.25">
      <c r="A14" s="23" t="s">
        <v>27</v>
      </c>
      <c r="B14" s="24"/>
      <c r="C14" s="24">
        <v>8</v>
      </c>
      <c r="D14" s="24">
        <v>8</v>
      </c>
      <c r="E14" s="24"/>
      <c r="F14" s="24"/>
      <c r="G14" s="24"/>
      <c r="H14" s="24"/>
      <c r="I14" s="24">
        <v>8</v>
      </c>
      <c r="J14" s="24">
        <v>8</v>
      </c>
      <c r="K14" s="24">
        <v>8</v>
      </c>
      <c r="L14" s="24">
        <v>8</v>
      </c>
      <c r="M14" s="24">
        <v>8</v>
      </c>
      <c r="N14" s="24"/>
      <c r="O14" s="24"/>
      <c r="P14" s="25">
        <f t="shared" si="1"/>
        <v>56</v>
      </c>
    </row>
    <row r="15" spans="1:16" ht="20.25" customHeight="1" x14ac:dyDescent="0.25">
      <c r="A15" s="23" t="s">
        <v>18</v>
      </c>
      <c r="B15" s="24">
        <v>0.75</v>
      </c>
      <c r="C15" s="24"/>
      <c r="D15" s="24"/>
      <c r="E15" s="24">
        <v>1.5</v>
      </c>
      <c r="F15" s="24">
        <v>2</v>
      </c>
      <c r="G15" s="24"/>
      <c r="H15" s="24"/>
      <c r="I15" s="24"/>
      <c r="J15" s="24"/>
      <c r="K15" s="24"/>
      <c r="L15" s="24"/>
      <c r="M15" s="24"/>
      <c r="N15" s="24"/>
      <c r="O15" s="24"/>
      <c r="P15" s="25">
        <f t="shared" si="1"/>
        <v>4.25</v>
      </c>
    </row>
    <row r="16" spans="1:16" ht="20.25" customHeight="1" x14ac:dyDescent="0.2">
      <c r="A16" s="15" t="s">
        <v>38</v>
      </c>
      <c r="B16" s="14">
        <f t="shared" ref="B16:P16" si="2">SUM(B7:B15)</f>
        <v>8</v>
      </c>
      <c r="C16" s="14">
        <f t="shared" si="2"/>
        <v>8</v>
      </c>
      <c r="D16" s="14">
        <f t="shared" si="2"/>
        <v>8</v>
      </c>
      <c r="E16" s="14">
        <f t="shared" si="2"/>
        <v>8</v>
      </c>
      <c r="F16" s="14">
        <f t="shared" si="2"/>
        <v>8</v>
      </c>
      <c r="G16" s="14">
        <f t="shared" si="2"/>
        <v>0</v>
      </c>
      <c r="H16" s="14">
        <f t="shared" si="2"/>
        <v>0</v>
      </c>
      <c r="I16" s="14">
        <f t="shared" si="2"/>
        <v>8</v>
      </c>
      <c r="J16" s="14">
        <f t="shared" si="2"/>
        <v>8</v>
      </c>
      <c r="K16" s="14">
        <f t="shared" si="2"/>
        <v>8</v>
      </c>
      <c r="L16" s="14">
        <f t="shared" si="2"/>
        <v>8</v>
      </c>
      <c r="M16" s="14">
        <f t="shared" si="2"/>
        <v>8</v>
      </c>
      <c r="N16" s="14">
        <f t="shared" si="2"/>
        <v>0</v>
      </c>
      <c r="O16" s="14">
        <f t="shared" si="2"/>
        <v>0</v>
      </c>
      <c r="P16" s="14">
        <f t="shared" si="2"/>
        <v>80</v>
      </c>
    </row>
    <row r="17" spans="1:20" ht="20.25" customHeight="1" x14ac:dyDescent="0.25">
      <c r="A17"/>
      <c r="B17"/>
      <c r="C17"/>
      <c r="D17"/>
      <c r="E17"/>
      <c r="F17"/>
      <c r="G17" s="23" t="s">
        <v>59</v>
      </c>
      <c r="H17" s="14">
        <f>SUM(B16:H16)</f>
        <v>40</v>
      </c>
      <c r="I17"/>
      <c r="J17"/>
      <c r="K17"/>
      <c r="L17"/>
      <c r="M17"/>
      <c r="N17" s="23" t="s">
        <v>60</v>
      </c>
      <c r="O17" s="14">
        <f>SUM(I16:O16)</f>
        <v>40</v>
      </c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</sheetData>
  <sortState ref="A7:P15">
    <sortCondition ref="A7:A15"/>
  </sortState>
  <dataConsolidate/>
  <conditionalFormatting sqref="G16:H16 N16:O16">
    <cfRule type="cellIs" dxfId="68" priority="1" operator="greaterThan">
      <formula>8</formula>
    </cfRule>
  </conditionalFormatting>
  <conditionalFormatting sqref="B16:F16 I16:M16">
    <cfRule type="cellIs" dxfId="67" priority="6" operator="greaterThan">
      <formula>8</formula>
    </cfRule>
    <cfRule type="cellIs" dxfId="66" priority="151" operator="equal">
      <formula>8</formula>
    </cfRule>
  </conditionalFormatting>
  <conditionalFormatting sqref="P7:P15">
    <cfRule type="cellIs" dxfId="65" priority="5" operator="greaterThan">
      <formula>80</formula>
    </cfRule>
  </conditionalFormatting>
  <conditionalFormatting sqref="P16">
    <cfRule type="cellIs" dxfId="64" priority="4" operator="greaterThan">
      <formula>80</formula>
    </cfRule>
    <cfRule type="cellIs" dxfId="63" priority="152" operator="equal">
      <formula>80</formula>
    </cfRule>
  </conditionalFormatting>
  <conditionalFormatting sqref="H17">
    <cfRule type="cellIs" dxfId="62" priority="3" operator="greaterThan">
      <formula>40</formula>
    </cfRule>
    <cfRule type="cellIs" dxfId="61" priority="153" operator="equal">
      <formula>40</formula>
    </cfRule>
  </conditionalFormatting>
  <conditionalFormatting sqref="O17">
    <cfRule type="cellIs" dxfId="60" priority="2" operator="greaterThan">
      <formula>40</formula>
    </cfRule>
    <cfRule type="cellIs" dxfId="59" priority="154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3481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34817" r:id="rId4" name="btnAddActivity"/>
      </mc:Fallback>
    </mc:AlternateContent>
  </control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145"/>
  <sheetViews>
    <sheetView zoomScaleNormal="100" workbookViewId="0"/>
  </sheetViews>
  <sheetFormatPr defaultRowHeight="15" x14ac:dyDescent="0.2"/>
  <cols>
    <col min="1" max="1" width="12.5546875" bestFit="1" customWidth="1"/>
    <col min="2" max="2" width="21.33203125" bestFit="1" customWidth="1"/>
    <col min="3" max="3" width="5.6640625" bestFit="1" customWidth="1"/>
    <col min="4" max="6" width="9.88671875" bestFit="1" customWidth="1"/>
    <col min="7" max="7" width="3.88671875" bestFit="1" customWidth="1"/>
    <col min="8" max="8" width="4.88671875" bestFit="1" customWidth="1"/>
    <col min="9" max="9" width="9.6640625" style="2" bestFit="1" customWidth="1"/>
    <col min="10" max="10" width="7" bestFit="1" customWidth="1"/>
    <col min="11" max="11" width="9.77734375" bestFit="1" customWidth="1"/>
    <col min="12" max="12" width="5.6640625" bestFit="1" customWidth="1"/>
    <col min="13" max="13" width="5.33203125" bestFit="1" customWidth="1"/>
    <col min="14" max="14" width="12.109375" bestFit="1" customWidth="1"/>
    <col min="15" max="15" width="11" bestFit="1" customWidth="1"/>
    <col min="16" max="16" width="7.77734375" bestFit="1" customWidth="1"/>
    <col min="17" max="17" width="13.21875" bestFit="1" customWidth="1"/>
    <col min="18" max="18" width="13.6640625" bestFit="1" customWidth="1"/>
  </cols>
  <sheetData>
    <row r="1" spans="1:18" x14ac:dyDescent="0.2">
      <c r="A1" s="1" t="s">
        <v>9</v>
      </c>
      <c r="B1" s="1" t="s">
        <v>16</v>
      </c>
      <c r="C1" s="1" t="s">
        <v>32</v>
      </c>
      <c r="D1" s="1" t="s">
        <v>30</v>
      </c>
      <c r="E1" s="1" t="s">
        <v>31</v>
      </c>
      <c r="F1" s="1" t="s">
        <v>33</v>
      </c>
      <c r="G1" s="1" t="s">
        <v>34</v>
      </c>
      <c r="H1" s="1" t="s">
        <v>35</v>
      </c>
      <c r="I1" s="1" t="s">
        <v>37</v>
      </c>
      <c r="J1" s="1" t="s">
        <v>36</v>
      </c>
      <c r="K1" s="1" t="s">
        <v>41</v>
      </c>
      <c r="L1" s="1" t="s">
        <v>43</v>
      </c>
      <c r="M1" s="1" t="s">
        <v>44</v>
      </c>
      <c r="N1" s="1" t="s">
        <v>47</v>
      </c>
      <c r="O1" s="1" t="s">
        <v>48</v>
      </c>
      <c r="P1" s="1" t="s">
        <v>49</v>
      </c>
      <c r="Q1" s="1" t="s">
        <v>55</v>
      </c>
      <c r="R1" t="s">
        <v>67</v>
      </c>
    </row>
    <row r="2" spans="1:18" x14ac:dyDescent="0.2">
      <c r="A2" s="1" t="s">
        <v>13</v>
      </c>
      <c r="B2" s="1" t="s">
        <v>17</v>
      </c>
      <c r="C2">
        <v>1</v>
      </c>
      <c r="D2" s="9">
        <v>40903</v>
      </c>
      <c r="E2" s="9">
        <f>D2+13</f>
        <v>40916</v>
      </c>
      <c r="F2" s="9">
        <f>E2+5</f>
        <v>40921</v>
      </c>
      <c r="G2" s="1">
        <f>IF(E2&lt;=DATE(2012,9,1),2012,IF(E2&lt;=DATE(2013,9,1),2013,IF(E2&lt;=DATE(2014,9,1),2014,IF(E2&lt;=DATE(2015,9,1),2015,2016))))</f>
        <v>2012</v>
      </c>
      <c r="H2" t="str">
        <f>IF(AND(D2&lt;DATE(G2,9,1),E2&gt;DATE(G2,8,31)),DATE(G2,9,1)-D2,"")</f>
        <v/>
      </c>
      <c r="I2" s="2" t="str">
        <f>CHOOSE(IF(MONTH(F2)+1=13,1,MONTH(F2)+1),"December","January","February","March","April","May","June","July","August","September","October","November")</f>
        <v>January</v>
      </c>
      <c r="J2" s="2" t="str">
        <f>CHOOSE(WEEKDAY(DATE(G2,MONTH(E2),1),2),"Mon","Tue","Wed","Thu","Fri","Sat","Sun")</f>
        <v>Sun</v>
      </c>
      <c r="K2" t="str">
        <f>G2 &amp; C2</f>
        <v>20121</v>
      </c>
      <c r="L2" s="13" t="s">
        <v>66</v>
      </c>
      <c r="M2" s="1"/>
      <c r="N2" t="s">
        <v>10</v>
      </c>
      <c r="O2" t="b">
        <v>1</v>
      </c>
      <c r="P2" t="s">
        <v>70</v>
      </c>
      <c r="Q2" s="2" t="b">
        <v>1</v>
      </c>
      <c r="R2" t="s">
        <v>68</v>
      </c>
    </row>
    <row r="3" spans="1:18" x14ac:dyDescent="0.2">
      <c r="A3" s="1" t="s">
        <v>11</v>
      </c>
      <c r="B3" s="1" t="s">
        <v>28</v>
      </c>
      <c r="C3">
        <v>2</v>
      </c>
      <c r="D3" s="9">
        <f>E2+1</f>
        <v>40917</v>
      </c>
      <c r="E3" s="9">
        <f>D3+13</f>
        <v>40930</v>
      </c>
      <c r="F3" s="9">
        <f t="shared" ref="F3:F66" si="0">E3+5</f>
        <v>40935</v>
      </c>
      <c r="G3" s="1">
        <f>IF(E3&lt;=DATE(2012,9,1),2012,IF(E3&lt;=DATE(2013,9,1),2013,IF(E3&lt;=DATE(2014,9,1),2014,IF(E3&lt;=DATE(2015,9,1),2015,2016))))</f>
        <v>2012</v>
      </c>
      <c r="H3" s="2" t="str">
        <f>IF(AND(D3&lt;DATE(G2,9,1),E3&gt;DATE(G2,8,31)),DATE(G2,9,1)-D3,"")</f>
        <v/>
      </c>
      <c r="I3" s="2" t="str">
        <f t="shared" ref="I3:I66" si="1">CHOOSE(IF(MONTH(F3)+1=13,1,MONTH(F3)+1),"December","January","February","March","April","May","June","July","August","September","October","November")</f>
        <v>January</v>
      </c>
      <c r="J3" s="2" t="str">
        <f>IF(MONTH(E3)=MONTH(E2),"",CHOOSE(WEEKDAY(DATE(G3,MONTH(F3),1),2),"Mon","Tue","Wed","Thu","Fri","Sat","Sun"))</f>
        <v/>
      </c>
      <c r="K3" s="2" t="str">
        <f t="shared" ref="K3:K66" si="2">G3 &amp; C3</f>
        <v>20122</v>
      </c>
      <c r="M3" s="1"/>
      <c r="Q3" t="s">
        <v>65</v>
      </c>
      <c r="R3" t="s">
        <v>69</v>
      </c>
    </row>
    <row r="4" spans="1:18" x14ac:dyDescent="0.2">
      <c r="A4" s="1" t="s">
        <v>46</v>
      </c>
      <c r="B4" s="1" t="s">
        <v>24</v>
      </c>
      <c r="C4" s="2">
        <v>3</v>
      </c>
      <c r="D4" s="9">
        <f t="shared" ref="D4:D67" si="3">E3+1</f>
        <v>40931</v>
      </c>
      <c r="E4" s="9">
        <f t="shared" ref="E4:E67" si="4">D4+13</f>
        <v>40944</v>
      </c>
      <c r="F4" s="9">
        <f t="shared" si="0"/>
        <v>40949</v>
      </c>
      <c r="G4" s="1">
        <f>IF(E4&lt;=DATE(2012,9,1),2012,IF(E4&lt;=DATE(2013,9,1),2013,IF(E4&lt;=DATE(2014,9,1),2014,IF(E4&lt;=DATE(2015,9,1),2015,2016))))</f>
        <v>2012</v>
      </c>
      <c r="H4" s="2" t="str">
        <f t="shared" ref="H4:H67" si="5">IF(AND(D4&lt;DATE(G3,9,1),E4&gt;DATE(G3,8,31)),DATE(G3,9,1)-D4,"")</f>
        <v/>
      </c>
      <c r="I4" s="2" t="str">
        <f t="shared" si="1"/>
        <v>February</v>
      </c>
      <c r="J4" s="2" t="str">
        <f t="shared" ref="J4:J67" si="6">IF(MONTH(E4)=MONTH(E3),"",CHOOSE(WEEKDAY(DATE(G4,MONTH(F4),1),2),"Mon","Tue","Wed","Thu","Fri","Sat","Sun"))</f>
        <v>Wed</v>
      </c>
      <c r="K4" s="2" t="str">
        <f t="shared" si="2"/>
        <v>20123</v>
      </c>
      <c r="M4" s="1"/>
      <c r="Q4" t="s">
        <v>71</v>
      </c>
    </row>
    <row r="5" spans="1:18" x14ac:dyDescent="0.2">
      <c r="A5" s="1" t="s">
        <v>10</v>
      </c>
      <c r="B5" s="1" t="s">
        <v>25</v>
      </c>
      <c r="C5" s="2">
        <v>4</v>
      </c>
      <c r="D5" s="9">
        <f t="shared" si="3"/>
        <v>40945</v>
      </c>
      <c r="E5" s="9">
        <f t="shared" si="4"/>
        <v>40958</v>
      </c>
      <c r="F5" s="9">
        <f t="shared" si="0"/>
        <v>40963</v>
      </c>
      <c r="G5" s="1">
        <f>IF(E5&lt;=DATE(2012,9,1),2012,IF(E5&lt;=DATE(2013,9,1),2013,IF(E5&lt;=DATE(2014,9,1),2014,IF(E5&lt;=DATE(2015,9,1),2015,2016))))</f>
        <v>2012</v>
      </c>
      <c r="H5" s="2" t="str">
        <f t="shared" si="5"/>
        <v/>
      </c>
      <c r="I5" s="2" t="str">
        <f t="shared" si="1"/>
        <v>February</v>
      </c>
      <c r="J5" s="2" t="str">
        <f t="shared" si="6"/>
        <v/>
      </c>
      <c r="K5" s="2" t="str">
        <f t="shared" si="2"/>
        <v>20124</v>
      </c>
      <c r="L5" s="2"/>
      <c r="M5" s="1"/>
    </row>
    <row r="6" spans="1:18" x14ac:dyDescent="0.2">
      <c r="A6" s="1" t="s">
        <v>45</v>
      </c>
      <c r="B6" s="1" t="s">
        <v>53</v>
      </c>
      <c r="C6" s="2">
        <v>5</v>
      </c>
      <c r="D6" s="9">
        <f t="shared" si="3"/>
        <v>40959</v>
      </c>
      <c r="E6" s="9">
        <f t="shared" si="4"/>
        <v>40972</v>
      </c>
      <c r="F6" s="9">
        <f t="shared" si="0"/>
        <v>40977</v>
      </c>
      <c r="G6" s="1">
        <f>IF(E6&lt;=DATE(2012,9,1),2012,IF(E6&lt;=DATE(2013,9,1),2013,IF(E6&lt;=DATE(2014,9,1),2014,IF(E6&lt;=DATE(2015,9,1),2015,2016))))</f>
        <v>2012</v>
      </c>
      <c r="H6" s="2" t="str">
        <f t="shared" si="5"/>
        <v/>
      </c>
      <c r="I6" s="2" t="str">
        <f t="shared" si="1"/>
        <v>March</v>
      </c>
      <c r="J6" s="2" t="str">
        <f t="shared" si="6"/>
        <v>Thu</v>
      </c>
      <c r="K6" s="2" t="str">
        <f t="shared" si="2"/>
        <v>20125</v>
      </c>
      <c r="L6" s="2"/>
      <c r="M6" s="1"/>
    </row>
    <row r="7" spans="1:18" x14ac:dyDescent="0.2">
      <c r="A7" s="1" t="s">
        <v>12</v>
      </c>
      <c r="B7" s="1" t="s">
        <v>51</v>
      </c>
      <c r="C7" s="2">
        <v>6</v>
      </c>
      <c r="D7" s="9">
        <f t="shared" si="3"/>
        <v>40973</v>
      </c>
      <c r="E7" s="9">
        <f t="shared" si="4"/>
        <v>40986</v>
      </c>
      <c r="F7" s="9">
        <f t="shared" si="0"/>
        <v>40991</v>
      </c>
      <c r="G7" s="1">
        <f>IF(E7&lt;=DATE(2012,9,1),2012,IF(E7&lt;=DATE(2013,9,1),2013,IF(E7&lt;=DATE(2014,9,1),2014,IF(E7&lt;=DATE(2015,9,1),2015,2016))))</f>
        <v>2012</v>
      </c>
      <c r="H7" s="2" t="str">
        <f t="shared" si="5"/>
        <v/>
      </c>
      <c r="I7" s="2" t="str">
        <f t="shared" si="1"/>
        <v>March</v>
      </c>
      <c r="J7" s="2" t="str">
        <f t="shared" si="6"/>
        <v/>
      </c>
      <c r="K7" s="2" t="str">
        <f t="shared" si="2"/>
        <v>20126</v>
      </c>
      <c r="L7" s="2"/>
      <c r="M7" s="1"/>
    </row>
    <row r="8" spans="1:18" x14ac:dyDescent="0.2">
      <c r="A8" s="1" t="s">
        <v>14</v>
      </c>
      <c r="B8" s="1" t="s">
        <v>26</v>
      </c>
      <c r="C8" s="2">
        <v>7</v>
      </c>
      <c r="D8" s="9">
        <f t="shared" si="3"/>
        <v>40987</v>
      </c>
      <c r="E8" s="9">
        <f t="shared" si="4"/>
        <v>41000</v>
      </c>
      <c r="F8" s="9">
        <f t="shared" si="0"/>
        <v>41005</v>
      </c>
      <c r="G8" s="1">
        <f>IF(E8&lt;=DATE(2012,9,1),2012,IF(E8&lt;=DATE(2013,9,1),2013,IF(E8&lt;=DATE(2014,9,1),2014,IF(E8&lt;=DATE(2015,9,1),2015,2016))))</f>
        <v>2012</v>
      </c>
      <c r="H8" s="2" t="str">
        <f t="shared" si="5"/>
        <v/>
      </c>
      <c r="I8" s="2" t="str">
        <f t="shared" si="1"/>
        <v>April</v>
      </c>
      <c r="J8" s="2" t="str">
        <f t="shared" si="6"/>
        <v>Sun</v>
      </c>
      <c r="K8" s="2" t="str">
        <f t="shared" si="2"/>
        <v>20127</v>
      </c>
      <c r="L8" s="2"/>
      <c r="M8" s="1"/>
    </row>
    <row r="9" spans="1:18" x14ac:dyDescent="0.2">
      <c r="B9" s="1" t="s">
        <v>50</v>
      </c>
      <c r="C9" s="2">
        <v>8</v>
      </c>
      <c r="D9" s="9">
        <f t="shared" si="3"/>
        <v>41001</v>
      </c>
      <c r="E9" s="9">
        <f t="shared" si="4"/>
        <v>41014</v>
      </c>
      <c r="F9" s="9">
        <f t="shared" si="0"/>
        <v>41019</v>
      </c>
      <c r="G9" s="1">
        <f>IF(E9&lt;=DATE(2012,9,1),2012,IF(E9&lt;=DATE(2013,9,1),2013,IF(E9&lt;=DATE(2014,9,1),2014,IF(E9&lt;=DATE(2015,9,1),2015,2016))))</f>
        <v>2012</v>
      </c>
      <c r="H9" s="2" t="str">
        <f t="shared" si="5"/>
        <v/>
      </c>
      <c r="I9" s="2" t="str">
        <f t="shared" si="1"/>
        <v>April</v>
      </c>
      <c r="J9" s="2" t="str">
        <f t="shared" si="6"/>
        <v/>
      </c>
      <c r="K9" s="2" t="str">
        <f t="shared" si="2"/>
        <v>20128</v>
      </c>
      <c r="L9" s="2"/>
      <c r="M9" s="1"/>
    </row>
    <row r="10" spans="1:18" x14ac:dyDescent="0.2">
      <c r="B10" s="1" t="s">
        <v>20</v>
      </c>
      <c r="C10" s="2">
        <v>9</v>
      </c>
      <c r="D10" s="9">
        <f t="shared" si="3"/>
        <v>41015</v>
      </c>
      <c r="E10" s="9">
        <f t="shared" si="4"/>
        <v>41028</v>
      </c>
      <c r="F10" s="9">
        <f t="shared" si="0"/>
        <v>41033</v>
      </c>
      <c r="G10" s="1">
        <f>IF(E10&lt;=DATE(2012,9,1),2012,IF(E10&lt;=DATE(2013,9,1),2013,IF(E10&lt;=DATE(2014,9,1),2014,IF(E10&lt;=DATE(2015,9,1),2015,2016))))</f>
        <v>2012</v>
      </c>
      <c r="H10" s="2" t="str">
        <f t="shared" si="5"/>
        <v/>
      </c>
      <c r="I10" s="2" t="str">
        <f t="shared" si="1"/>
        <v>May</v>
      </c>
      <c r="J10" s="2" t="str">
        <f t="shared" si="6"/>
        <v/>
      </c>
      <c r="K10" s="2" t="str">
        <f t="shared" si="2"/>
        <v>20129</v>
      </c>
      <c r="L10" s="2"/>
      <c r="M10" s="1"/>
    </row>
    <row r="11" spans="1:18" x14ac:dyDescent="0.2">
      <c r="B11" s="1" t="s">
        <v>21</v>
      </c>
      <c r="C11" s="2">
        <v>10</v>
      </c>
      <c r="D11" s="9">
        <f t="shared" si="3"/>
        <v>41029</v>
      </c>
      <c r="E11" s="9">
        <f t="shared" si="4"/>
        <v>41042</v>
      </c>
      <c r="F11" s="9">
        <f t="shared" si="0"/>
        <v>41047</v>
      </c>
      <c r="G11" s="1">
        <f>IF(E11&lt;=DATE(2012,9,1),2012,IF(E11&lt;=DATE(2013,9,1),2013,IF(E11&lt;=DATE(2014,9,1),2014,IF(E11&lt;=DATE(2015,9,1),2015,2016))))</f>
        <v>2012</v>
      </c>
      <c r="H11" s="2" t="str">
        <f t="shared" si="5"/>
        <v/>
      </c>
      <c r="I11" s="2" t="str">
        <f t="shared" si="1"/>
        <v>May</v>
      </c>
      <c r="J11" s="2" t="str">
        <f t="shared" si="6"/>
        <v>Tue</v>
      </c>
      <c r="K11" s="2" t="str">
        <f t="shared" si="2"/>
        <v>201210</v>
      </c>
      <c r="L11" s="2"/>
      <c r="M11" s="1"/>
    </row>
    <row r="12" spans="1:18" x14ac:dyDescent="0.2">
      <c r="B12" s="1" t="s">
        <v>19</v>
      </c>
      <c r="C12" s="2">
        <v>11</v>
      </c>
      <c r="D12" s="9">
        <f t="shared" si="3"/>
        <v>41043</v>
      </c>
      <c r="E12" s="9">
        <f t="shared" si="4"/>
        <v>41056</v>
      </c>
      <c r="F12" s="9">
        <f t="shared" si="0"/>
        <v>41061</v>
      </c>
      <c r="G12" s="1">
        <f>IF(E12&lt;=DATE(2012,9,1),2012,IF(E12&lt;=DATE(2013,9,1),2013,IF(E12&lt;=DATE(2014,9,1),2014,IF(E12&lt;=DATE(2015,9,1),2015,2016))))</f>
        <v>2012</v>
      </c>
      <c r="H12" s="2" t="str">
        <f t="shared" si="5"/>
        <v/>
      </c>
      <c r="I12" s="2" t="str">
        <f t="shared" si="1"/>
        <v>June</v>
      </c>
      <c r="J12" s="2" t="str">
        <f t="shared" si="6"/>
        <v/>
      </c>
      <c r="K12" s="2" t="str">
        <f t="shared" si="2"/>
        <v>201211</v>
      </c>
      <c r="L12" s="2"/>
      <c r="M12" s="1"/>
    </row>
    <row r="13" spans="1:18" x14ac:dyDescent="0.2">
      <c r="B13" s="1" t="s">
        <v>52</v>
      </c>
      <c r="C13" s="2">
        <v>12</v>
      </c>
      <c r="D13" s="9">
        <f t="shared" si="3"/>
        <v>41057</v>
      </c>
      <c r="E13" s="9">
        <f t="shared" si="4"/>
        <v>41070</v>
      </c>
      <c r="F13" s="9">
        <f t="shared" si="0"/>
        <v>41075</v>
      </c>
      <c r="G13" s="1">
        <f>IF(E13&lt;=DATE(2012,9,1),2012,IF(E13&lt;=DATE(2013,9,1),2013,IF(E13&lt;=DATE(2014,9,1),2014,IF(E13&lt;=DATE(2015,9,1),2015,2016))))</f>
        <v>2012</v>
      </c>
      <c r="H13" s="2" t="str">
        <f t="shared" si="5"/>
        <v/>
      </c>
      <c r="I13" s="2" t="str">
        <f t="shared" si="1"/>
        <v>June</v>
      </c>
      <c r="J13" s="2" t="str">
        <f t="shared" si="6"/>
        <v>Fri</v>
      </c>
      <c r="K13" s="2" t="str">
        <f t="shared" si="2"/>
        <v>201212</v>
      </c>
      <c r="L13" s="2"/>
      <c r="M13" s="1"/>
    </row>
    <row r="14" spans="1:18" x14ac:dyDescent="0.2">
      <c r="B14" s="1" t="s">
        <v>42</v>
      </c>
      <c r="C14" s="2">
        <v>13</v>
      </c>
      <c r="D14" s="9">
        <f t="shared" si="3"/>
        <v>41071</v>
      </c>
      <c r="E14" s="9">
        <f t="shared" si="4"/>
        <v>41084</v>
      </c>
      <c r="F14" s="9">
        <f t="shared" si="0"/>
        <v>41089</v>
      </c>
      <c r="G14" s="1">
        <f>IF(E14&lt;=DATE(2012,9,1),2012,IF(E14&lt;=DATE(2013,9,1),2013,IF(E14&lt;=DATE(2014,9,1),2014,IF(E14&lt;=DATE(2015,9,1),2015,2016))))</f>
        <v>2012</v>
      </c>
      <c r="H14" s="2" t="str">
        <f t="shared" si="5"/>
        <v/>
      </c>
      <c r="I14" s="2" t="str">
        <f t="shared" si="1"/>
        <v>June</v>
      </c>
      <c r="J14" s="2" t="str">
        <f t="shared" si="6"/>
        <v/>
      </c>
      <c r="K14" s="2" t="str">
        <f t="shared" si="2"/>
        <v>201213</v>
      </c>
    </row>
    <row r="15" spans="1:18" x14ac:dyDescent="0.2">
      <c r="B15" s="1" t="s">
        <v>29</v>
      </c>
      <c r="C15" s="2">
        <v>14</v>
      </c>
      <c r="D15" s="9">
        <f t="shared" si="3"/>
        <v>41085</v>
      </c>
      <c r="E15" s="9">
        <f t="shared" si="4"/>
        <v>41098</v>
      </c>
      <c r="F15" s="9">
        <f t="shared" si="0"/>
        <v>41103</v>
      </c>
      <c r="G15" s="1">
        <f>IF(E15&lt;=DATE(2012,9,1),2012,IF(E15&lt;=DATE(2013,9,1),2013,IF(E15&lt;=DATE(2014,9,1),2014,IF(E15&lt;=DATE(2015,9,1),2015,2016))))</f>
        <v>2012</v>
      </c>
      <c r="H15" s="2" t="str">
        <f t="shared" si="5"/>
        <v/>
      </c>
      <c r="I15" s="2" t="str">
        <f t="shared" si="1"/>
        <v>July</v>
      </c>
      <c r="J15" s="2" t="str">
        <f t="shared" si="6"/>
        <v>Sun</v>
      </c>
      <c r="K15" s="2" t="str">
        <f t="shared" si="2"/>
        <v>201214</v>
      </c>
    </row>
    <row r="16" spans="1:18" x14ac:dyDescent="0.2">
      <c r="B16" s="1" t="s">
        <v>27</v>
      </c>
      <c r="C16" s="2">
        <v>15</v>
      </c>
      <c r="D16" s="9">
        <f t="shared" si="3"/>
        <v>41099</v>
      </c>
      <c r="E16" s="9">
        <f t="shared" si="4"/>
        <v>41112</v>
      </c>
      <c r="F16" s="9">
        <f t="shared" si="0"/>
        <v>41117</v>
      </c>
      <c r="G16" s="1">
        <f>IF(E16&lt;=DATE(2012,9,1),2012,IF(E16&lt;=DATE(2013,9,1),2013,IF(E16&lt;=DATE(2014,9,1),2014,IF(E16&lt;=DATE(2015,9,1),2015,2016))))</f>
        <v>2012</v>
      </c>
      <c r="H16" s="2" t="str">
        <f t="shared" si="5"/>
        <v/>
      </c>
      <c r="I16" s="2" t="str">
        <f t="shared" si="1"/>
        <v>July</v>
      </c>
      <c r="J16" s="2" t="str">
        <f t="shared" si="6"/>
        <v/>
      </c>
      <c r="K16" s="2" t="str">
        <f t="shared" si="2"/>
        <v>201215</v>
      </c>
    </row>
    <row r="17" spans="2:11" x14ac:dyDescent="0.2">
      <c r="B17" s="1" t="s">
        <v>22</v>
      </c>
      <c r="C17" s="2">
        <v>16</v>
      </c>
      <c r="D17" s="9">
        <f t="shared" si="3"/>
        <v>41113</v>
      </c>
      <c r="E17" s="9">
        <f t="shared" si="4"/>
        <v>41126</v>
      </c>
      <c r="F17" s="9">
        <f t="shared" si="0"/>
        <v>41131</v>
      </c>
      <c r="G17" s="1">
        <f>IF(E17&lt;=DATE(2012,9,1),2012,IF(E17&lt;=DATE(2013,9,1),2013,IF(E17&lt;=DATE(2014,9,1),2014,IF(E17&lt;=DATE(2015,9,1),2015,2016))))</f>
        <v>2012</v>
      </c>
      <c r="H17" s="2" t="str">
        <f t="shared" si="5"/>
        <v/>
      </c>
      <c r="I17" s="2" t="str">
        <f t="shared" si="1"/>
        <v>August</v>
      </c>
      <c r="J17" s="2" t="str">
        <f t="shared" si="6"/>
        <v>Wed</v>
      </c>
      <c r="K17" s="2" t="str">
        <f t="shared" si="2"/>
        <v>201216</v>
      </c>
    </row>
    <row r="18" spans="2:11" x14ac:dyDescent="0.2">
      <c r="B18" s="1" t="s">
        <v>23</v>
      </c>
      <c r="C18" s="2">
        <v>17</v>
      </c>
      <c r="D18" s="9">
        <f t="shared" si="3"/>
        <v>41127</v>
      </c>
      <c r="E18" s="9">
        <f t="shared" si="4"/>
        <v>41140</v>
      </c>
      <c r="F18" s="9">
        <f t="shared" si="0"/>
        <v>41145</v>
      </c>
      <c r="G18" s="1">
        <f>IF(E18&lt;=DATE(2012,9,1),2012,IF(E18&lt;=DATE(2013,9,1),2013,IF(E18&lt;=DATE(2014,9,1),2014,IF(E18&lt;=DATE(2015,9,1),2015,2016))))</f>
        <v>2012</v>
      </c>
      <c r="H18" s="2" t="str">
        <f t="shared" si="5"/>
        <v/>
      </c>
      <c r="I18" s="2" t="str">
        <f t="shared" si="1"/>
        <v>August</v>
      </c>
      <c r="J18" s="2" t="str">
        <f t="shared" si="6"/>
        <v/>
      </c>
      <c r="K18" s="2" t="str">
        <f t="shared" si="2"/>
        <v>201217</v>
      </c>
    </row>
    <row r="19" spans="2:11" x14ac:dyDescent="0.2">
      <c r="B19" s="1" t="s">
        <v>54</v>
      </c>
      <c r="C19" s="2">
        <v>18</v>
      </c>
      <c r="D19" s="9">
        <f t="shared" si="3"/>
        <v>41141</v>
      </c>
      <c r="E19" s="9">
        <f t="shared" si="4"/>
        <v>41154</v>
      </c>
      <c r="F19" s="9">
        <f t="shared" si="0"/>
        <v>41159</v>
      </c>
      <c r="G19" s="1">
        <f>IF(E19&lt;=DATE(2012,9,1),2012,IF(E19&lt;=DATE(2013,9,1),2013,IF(E19&lt;=DATE(2014,9,1),2014,IF(E19&lt;=DATE(2015,9,1),2015,2016))))</f>
        <v>2013</v>
      </c>
      <c r="H19" s="2">
        <f t="shared" si="5"/>
        <v>12</v>
      </c>
      <c r="I19" s="2" t="str">
        <f t="shared" si="1"/>
        <v>September</v>
      </c>
      <c r="J19" s="2" t="str">
        <f t="shared" si="6"/>
        <v>Sun</v>
      </c>
      <c r="K19" s="2" t="str">
        <f t="shared" si="2"/>
        <v>201318</v>
      </c>
    </row>
    <row r="20" spans="2:11" x14ac:dyDescent="0.2">
      <c r="B20" s="1" t="s">
        <v>18</v>
      </c>
      <c r="C20" s="2">
        <v>19</v>
      </c>
      <c r="D20" s="9">
        <f t="shared" si="3"/>
        <v>41155</v>
      </c>
      <c r="E20" s="9">
        <f t="shared" si="4"/>
        <v>41168</v>
      </c>
      <c r="F20" s="9">
        <f t="shared" si="0"/>
        <v>41173</v>
      </c>
      <c r="G20" s="1">
        <f>IF(E20&lt;=DATE(2012,9,1),2012,IF(E20&lt;=DATE(2013,9,1),2013,IF(E20&lt;=DATE(2014,9,1),2014,IF(E20&lt;=DATE(2015,9,1),2015,2016))))</f>
        <v>2013</v>
      </c>
      <c r="H20" s="2" t="str">
        <f t="shared" si="5"/>
        <v/>
      </c>
      <c r="I20" s="2" t="str">
        <f t="shared" si="1"/>
        <v>September</v>
      </c>
      <c r="J20" s="2" t="str">
        <f t="shared" si="6"/>
        <v/>
      </c>
      <c r="K20" s="2" t="str">
        <f t="shared" si="2"/>
        <v>201319</v>
      </c>
    </row>
    <row r="21" spans="2:11" x14ac:dyDescent="0.2">
      <c r="C21" s="2">
        <v>20</v>
      </c>
      <c r="D21" s="9">
        <f t="shared" si="3"/>
        <v>41169</v>
      </c>
      <c r="E21" s="9">
        <f t="shared" si="4"/>
        <v>41182</v>
      </c>
      <c r="F21" s="9">
        <f t="shared" si="0"/>
        <v>41187</v>
      </c>
      <c r="G21" s="1">
        <f>IF(E21&lt;=DATE(2012,9,1),2012,IF(E21&lt;=DATE(2013,9,1),2013,IF(E21&lt;=DATE(2014,9,1),2014,IF(E21&lt;=DATE(2015,9,1),2015,2016))))</f>
        <v>2013</v>
      </c>
      <c r="H21" s="2" t="str">
        <f t="shared" si="5"/>
        <v/>
      </c>
      <c r="I21" s="2" t="str">
        <f t="shared" si="1"/>
        <v>October</v>
      </c>
      <c r="J21" s="2" t="str">
        <f t="shared" si="6"/>
        <v/>
      </c>
      <c r="K21" s="2" t="str">
        <f t="shared" si="2"/>
        <v>201320</v>
      </c>
    </row>
    <row r="22" spans="2:11" x14ac:dyDescent="0.2">
      <c r="C22" s="2">
        <v>21</v>
      </c>
      <c r="D22" s="9">
        <f t="shared" si="3"/>
        <v>41183</v>
      </c>
      <c r="E22" s="9">
        <f t="shared" si="4"/>
        <v>41196</v>
      </c>
      <c r="F22" s="9">
        <f t="shared" si="0"/>
        <v>41201</v>
      </c>
      <c r="G22" s="1">
        <f>IF(E22&lt;=DATE(2012,9,1),2012,IF(E22&lt;=DATE(2013,9,1),2013,IF(E22&lt;=DATE(2014,9,1),2014,IF(E22&lt;=DATE(2015,9,1),2015,2016))))</f>
        <v>2013</v>
      </c>
      <c r="H22" s="2" t="str">
        <f t="shared" si="5"/>
        <v/>
      </c>
      <c r="I22" s="2" t="str">
        <f t="shared" si="1"/>
        <v>October</v>
      </c>
      <c r="J22" s="2" t="str">
        <f t="shared" si="6"/>
        <v>Tue</v>
      </c>
      <c r="K22" s="2" t="str">
        <f t="shared" si="2"/>
        <v>201321</v>
      </c>
    </row>
    <row r="23" spans="2:11" x14ac:dyDescent="0.2">
      <c r="C23" s="2">
        <v>22</v>
      </c>
      <c r="D23" s="9">
        <f t="shared" si="3"/>
        <v>41197</v>
      </c>
      <c r="E23" s="9">
        <f t="shared" si="4"/>
        <v>41210</v>
      </c>
      <c r="F23" s="9">
        <f t="shared" si="0"/>
        <v>41215</v>
      </c>
      <c r="G23" s="1">
        <f>IF(E23&lt;=DATE(2012,9,1),2012,IF(E23&lt;=DATE(2013,9,1),2013,IF(E23&lt;=DATE(2014,9,1),2014,IF(E23&lt;=DATE(2015,9,1),2015,2016))))</f>
        <v>2013</v>
      </c>
      <c r="H23" s="2" t="str">
        <f t="shared" si="5"/>
        <v/>
      </c>
      <c r="I23" s="2" t="str">
        <f t="shared" si="1"/>
        <v>November</v>
      </c>
      <c r="J23" s="2" t="str">
        <f t="shared" si="6"/>
        <v/>
      </c>
      <c r="K23" s="2" t="str">
        <f t="shared" si="2"/>
        <v>201322</v>
      </c>
    </row>
    <row r="24" spans="2:11" x14ac:dyDescent="0.2">
      <c r="C24" s="2">
        <v>23</v>
      </c>
      <c r="D24" s="9">
        <f t="shared" si="3"/>
        <v>41211</v>
      </c>
      <c r="E24" s="9">
        <f t="shared" si="4"/>
        <v>41224</v>
      </c>
      <c r="F24" s="9">
        <f t="shared" si="0"/>
        <v>41229</v>
      </c>
      <c r="G24" s="1">
        <f>IF(E24&lt;=DATE(2012,9,1),2012,IF(E24&lt;=DATE(2013,9,1),2013,IF(E24&lt;=DATE(2014,9,1),2014,IF(E24&lt;=DATE(2015,9,1),2015,2016))))</f>
        <v>2013</v>
      </c>
      <c r="H24" s="2" t="str">
        <f t="shared" si="5"/>
        <v/>
      </c>
      <c r="I24" s="2" t="str">
        <f t="shared" si="1"/>
        <v>November</v>
      </c>
      <c r="J24" s="2" t="str">
        <f t="shared" si="6"/>
        <v>Fri</v>
      </c>
      <c r="K24" s="2" t="str">
        <f t="shared" si="2"/>
        <v>201323</v>
      </c>
    </row>
    <row r="25" spans="2:11" x14ac:dyDescent="0.2">
      <c r="C25" s="2">
        <v>24</v>
      </c>
      <c r="D25" s="9">
        <f t="shared" si="3"/>
        <v>41225</v>
      </c>
      <c r="E25" s="9">
        <f t="shared" si="4"/>
        <v>41238</v>
      </c>
      <c r="F25" s="9">
        <f t="shared" si="0"/>
        <v>41243</v>
      </c>
      <c r="G25" s="1">
        <f>IF(E25&lt;=DATE(2012,9,1),2012,IF(E25&lt;=DATE(2013,9,1),2013,IF(E25&lt;=DATE(2014,9,1),2014,IF(E25&lt;=DATE(2015,9,1),2015,2016))))</f>
        <v>2013</v>
      </c>
      <c r="H25" s="2" t="str">
        <f t="shared" si="5"/>
        <v/>
      </c>
      <c r="I25" s="2" t="str">
        <f t="shared" si="1"/>
        <v>November</v>
      </c>
      <c r="J25" s="2" t="str">
        <f t="shared" si="6"/>
        <v/>
      </c>
      <c r="K25" s="2" t="str">
        <f t="shared" si="2"/>
        <v>201324</v>
      </c>
    </row>
    <row r="26" spans="2:11" x14ac:dyDescent="0.2">
      <c r="C26" s="2">
        <v>25</v>
      </c>
      <c r="D26" s="9">
        <f t="shared" si="3"/>
        <v>41239</v>
      </c>
      <c r="E26" s="9">
        <f t="shared" si="4"/>
        <v>41252</v>
      </c>
      <c r="F26" s="9">
        <f t="shared" si="0"/>
        <v>41257</v>
      </c>
      <c r="G26" s="1">
        <f>IF(E26&lt;=DATE(2012,9,1),2012,IF(E26&lt;=DATE(2013,9,1),2013,IF(E26&lt;=DATE(2014,9,1),2014,IF(E26&lt;=DATE(2015,9,1),2015,2016))))</f>
        <v>2013</v>
      </c>
      <c r="H26" s="2" t="str">
        <f t="shared" si="5"/>
        <v/>
      </c>
      <c r="I26" s="2" t="str">
        <f t="shared" si="1"/>
        <v>December</v>
      </c>
      <c r="J26" s="2" t="str">
        <f t="shared" si="6"/>
        <v>Sun</v>
      </c>
      <c r="K26" s="2" t="str">
        <f t="shared" si="2"/>
        <v>201325</v>
      </c>
    </row>
    <row r="27" spans="2:11" x14ac:dyDescent="0.2">
      <c r="C27" s="2">
        <v>26</v>
      </c>
      <c r="D27" s="9">
        <f t="shared" si="3"/>
        <v>41253</v>
      </c>
      <c r="E27" s="9">
        <f t="shared" si="4"/>
        <v>41266</v>
      </c>
      <c r="F27" s="9">
        <f t="shared" si="0"/>
        <v>41271</v>
      </c>
      <c r="G27" s="1">
        <f>IF(E27&lt;=DATE(2012,9,1),2012,IF(E27&lt;=DATE(2013,9,1),2013,IF(E27&lt;=DATE(2014,9,1),2014,IF(E27&lt;=DATE(2015,9,1),2015,2016))))</f>
        <v>2013</v>
      </c>
      <c r="H27" s="2" t="str">
        <f t="shared" si="5"/>
        <v/>
      </c>
      <c r="I27" s="2" t="str">
        <f t="shared" si="1"/>
        <v>December</v>
      </c>
      <c r="J27" s="2" t="str">
        <f t="shared" si="6"/>
        <v/>
      </c>
      <c r="K27" s="2" t="str">
        <f t="shared" si="2"/>
        <v>201326</v>
      </c>
    </row>
    <row r="28" spans="2:11" x14ac:dyDescent="0.2">
      <c r="C28" s="2">
        <v>1</v>
      </c>
      <c r="D28" s="9">
        <f t="shared" si="3"/>
        <v>41267</v>
      </c>
      <c r="E28" s="9">
        <f t="shared" si="4"/>
        <v>41280</v>
      </c>
      <c r="F28" s="9">
        <f t="shared" si="0"/>
        <v>41285</v>
      </c>
      <c r="G28" s="1">
        <f>IF(E28&lt;=DATE(2012,9,1),2012,IF(E28&lt;=DATE(2013,9,1),2013,IF(E28&lt;=DATE(2014,9,1),2014,IF(E28&lt;=DATE(2015,9,1),2015,2016))))</f>
        <v>2013</v>
      </c>
      <c r="H28" s="2" t="str">
        <f t="shared" si="5"/>
        <v/>
      </c>
      <c r="I28" s="2" t="str">
        <f t="shared" si="1"/>
        <v>January</v>
      </c>
      <c r="J28" s="2" t="str">
        <f t="shared" si="6"/>
        <v>Tue</v>
      </c>
      <c r="K28" s="2" t="str">
        <f t="shared" si="2"/>
        <v>20131</v>
      </c>
    </row>
    <row r="29" spans="2:11" x14ac:dyDescent="0.2">
      <c r="C29" s="2">
        <v>2</v>
      </c>
      <c r="D29" s="9">
        <f t="shared" si="3"/>
        <v>41281</v>
      </c>
      <c r="E29" s="9">
        <f t="shared" si="4"/>
        <v>41294</v>
      </c>
      <c r="F29" s="9">
        <f t="shared" si="0"/>
        <v>41299</v>
      </c>
      <c r="G29" s="1">
        <f>IF(E29&lt;=DATE(2012,9,1),2012,IF(E29&lt;=DATE(2013,9,1),2013,IF(E29&lt;=DATE(2014,9,1),2014,IF(E29&lt;=DATE(2015,9,1),2015,2016))))</f>
        <v>2013</v>
      </c>
      <c r="H29" s="2" t="str">
        <f t="shared" si="5"/>
        <v/>
      </c>
      <c r="I29" s="2" t="str">
        <f t="shared" si="1"/>
        <v>January</v>
      </c>
      <c r="J29" s="2" t="str">
        <f t="shared" si="6"/>
        <v/>
      </c>
      <c r="K29" s="2" t="str">
        <f t="shared" si="2"/>
        <v>20132</v>
      </c>
    </row>
    <row r="30" spans="2:11" x14ac:dyDescent="0.2">
      <c r="C30" s="2">
        <v>3</v>
      </c>
      <c r="D30" s="9">
        <f t="shared" si="3"/>
        <v>41295</v>
      </c>
      <c r="E30" s="9">
        <f t="shared" si="4"/>
        <v>41308</v>
      </c>
      <c r="F30" s="9">
        <f t="shared" si="0"/>
        <v>41313</v>
      </c>
      <c r="G30" s="1">
        <f>IF(E30&lt;=DATE(2012,9,1),2012,IF(E30&lt;=DATE(2013,9,1),2013,IF(E30&lt;=DATE(2014,9,1),2014,IF(E30&lt;=DATE(2015,9,1),2015,2016))))</f>
        <v>2013</v>
      </c>
      <c r="H30" s="2" t="str">
        <f t="shared" si="5"/>
        <v/>
      </c>
      <c r="I30" s="2" t="str">
        <f t="shared" si="1"/>
        <v>February</v>
      </c>
      <c r="J30" s="2" t="str">
        <f t="shared" si="6"/>
        <v>Fri</v>
      </c>
      <c r="K30" s="2" t="str">
        <f t="shared" si="2"/>
        <v>20133</v>
      </c>
    </row>
    <row r="31" spans="2:11" x14ac:dyDescent="0.2">
      <c r="C31" s="2">
        <v>4</v>
      </c>
      <c r="D31" s="9">
        <f t="shared" si="3"/>
        <v>41309</v>
      </c>
      <c r="E31" s="9">
        <f t="shared" si="4"/>
        <v>41322</v>
      </c>
      <c r="F31" s="9">
        <f t="shared" si="0"/>
        <v>41327</v>
      </c>
      <c r="G31" s="1">
        <f>IF(E31&lt;=DATE(2012,9,1),2012,IF(E31&lt;=DATE(2013,9,1),2013,IF(E31&lt;=DATE(2014,9,1),2014,IF(E31&lt;=DATE(2015,9,1),2015,2016))))</f>
        <v>2013</v>
      </c>
      <c r="H31" s="2" t="str">
        <f t="shared" si="5"/>
        <v/>
      </c>
      <c r="I31" s="2" t="str">
        <f t="shared" si="1"/>
        <v>February</v>
      </c>
      <c r="J31" s="2" t="str">
        <f t="shared" si="6"/>
        <v/>
      </c>
      <c r="K31" s="2" t="str">
        <f t="shared" si="2"/>
        <v>20134</v>
      </c>
    </row>
    <row r="32" spans="2:11" x14ac:dyDescent="0.2">
      <c r="C32" s="2">
        <v>5</v>
      </c>
      <c r="D32" s="9">
        <f t="shared" si="3"/>
        <v>41323</v>
      </c>
      <c r="E32" s="9">
        <f t="shared" si="4"/>
        <v>41336</v>
      </c>
      <c r="F32" s="9">
        <f t="shared" si="0"/>
        <v>41341</v>
      </c>
      <c r="G32" s="1">
        <f>IF(E32&lt;=DATE(2012,9,1),2012,IF(E32&lt;=DATE(2013,9,1),2013,IF(E32&lt;=DATE(2014,9,1),2014,IF(E32&lt;=DATE(2015,9,1),2015,2016))))</f>
        <v>2013</v>
      </c>
      <c r="H32" s="2" t="str">
        <f t="shared" si="5"/>
        <v/>
      </c>
      <c r="I32" s="2" t="str">
        <f t="shared" si="1"/>
        <v>March</v>
      </c>
      <c r="J32" s="2" t="str">
        <f t="shared" si="6"/>
        <v>Fri</v>
      </c>
      <c r="K32" s="2" t="str">
        <f t="shared" si="2"/>
        <v>20135</v>
      </c>
    </row>
    <row r="33" spans="3:11" x14ac:dyDescent="0.2">
      <c r="C33" s="2">
        <v>6</v>
      </c>
      <c r="D33" s="9">
        <f t="shared" si="3"/>
        <v>41337</v>
      </c>
      <c r="E33" s="9">
        <f t="shared" si="4"/>
        <v>41350</v>
      </c>
      <c r="F33" s="9">
        <f t="shared" si="0"/>
        <v>41355</v>
      </c>
      <c r="G33" s="1">
        <f>IF(E33&lt;=DATE(2012,9,1),2012,IF(E33&lt;=DATE(2013,9,1),2013,IF(E33&lt;=DATE(2014,9,1),2014,IF(E33&lt;=DATE(2015,9,1),2015,2016))))</f>
        <v>2013</v>
      </c>
      <c r="H33" s="2" t="str">
        <f t="shared" si="5"/>
        <v/>
      </c>
      <c r="I33" s="2" t="str">
        <f t="shared" si="1"/>
        <v>March</v>
      </c>
      <c r="J33" s="2" t="str">
        <f t="shared" si="6"/>
        <v/>
      </c>
      <c r="K33" s="2" t="str">
        <f t="shared" si="2"/>
        <v>20136</v>
      </c>
    </row>
    <row r="34" spans="3:11" x14ac:dyDescent="0.2">
      <c r="C34" s="2">
        <v>7</v>
      </c>
      <c r="D34" s="9">
        <f t="shared" si="3"/>
        <v>41351</v>
      </c>
      <c r="E34" s="9">
        <f t="shared" si="4"/>
        <v>41364</v>
      </c>
      <c r="F34" s="9">
        <f t="shared" si="0"/>
        <v>41369</v>
      </c>
      <c r="G34" s="1">
        <f>IF(E34&lt;=DATE(2012,9,1),2012,IF(E34&lt;=DATE(2013,9,1),2013,IF(E34&lt;=DATE(2014,9,1),2014,IF(E34&lt;=DATE(2015,9,1),2015,2016))))</f>
        <v>2013</v>
      </c>
      <c r="H34" s="2" t="str">
        <f t="shared" si="5"/>
        <v/>
      </c>
      <c r="I34" s="2" t="str">
        <f t="shared" si="1"/>
        <v>April</v>
      </c>
      <c r="J34" s="2" t="str">
        <f t="shared" si="6"/>
        <v/>
      </c>
      <c r="K34" s="2" t="str">
        <f t="shared" si="2"/>
        <v>20137</v>
      </c>
    </row>
    <row r="35" spans="3:11" x14ac:dyDescent="0.2">
      <c r="C35" s="2">
        <v>8</v>
      </c>
      <c r="D35" s="9">
        <f t="shared" si="3"/>
        <v>41365</v>
      </c>
      <c r="E35" s="9">
        <f t="shared" si="4"/>
        <v>41378</v>
      </c>
      <c r="F35" s="9">
        <f t="shared" si="0"/>
        <v>41383</v>
      </c>
      <c r="G35" s="1">
        <f>IF(E35&lt;=DATE(2012,9,1),2012,IF(E35&lt;=DATE(2013,9,1),2013,IF(E35&lt;=DATE(2014,9,1),2014,IF(E35&lt;=DATE(2015,9,1),2015,2016))))</f>
        <v>2013</v>
      </c>
      <c r="H35" s="2" t="str">
        <f t="shared" si="5"/>
        <v/>
      </c>
      <c r="I35" s="2" t="str">
        <f t="shared" si="1"/>
        <v>April</v>
      </c>
      <c r="J35" s="2" t="str">
        <f t="shared" si="6"/>
        <v>Mon</v>
      </c>
      <c r="K35" s="2" t="str">
        <f t="shared" si="2"/>
        <v>20138</v>
      </c>
    </row>
    <row r="36" spans="3:11" x14ac:dyDescent="0.2">
      <c r="C36" s="2">
        <v>9</v>
      </c>
      <c r="D36" s="9">
        <f t="shared" si="3"/>
        <v>41379</v>
      </c>
      <c r="E36" s="9">
        <f t="shared" si="4"/>
        <v>41392</v>
      </c>
      <c r="F36" s="9">
        <f t="shared" si="0"/>
        <v>41397</v>
      </c>
      <c r="G36" s="1">
        <f>IF(E36&lt;=DATE(2012,9,1),2012,IF(E36&lt;=DATE(2013,9,1),2013,IF(E36&lt;=DATE(2014,9,1),2014,IF(E36&lt;=DATE(2015,9,1),2015,2016))))</f>
        <v>2013</v>
      </c>
      <c r="H36" s="2" t="str">
        <f t="shared" si="5"/>
        <v/>
      </c>
      <c r="I36" s="2" t="str">
        <f t="shared" si="1"/>
        <v>May</v>
      </c>
      <c r="J36" s="2" t="str">
        <f t="shared" si="6"/>
        <v/>
      </c>
      <c r="K36" s="2" t="str">
        <f t="shared" si="2"/>
        <v>20139</v>
      </c>
    </row>
    <row r="37" spans="3:11" x14ac:dyDescent="0.2">
      <c r="C37" s="2">
        <v>10</v>
      </c>
      <c r="D37" s="9">
        <f t="shared" si="3"/>
        <v>41393</v>
      </c>
      <c r="E37" s="9">
        <f t="shared" si="4"/>
        <v>41406</v>
      </c>
      <c r="F37" s="9">
        <f t="shared" si="0"/>
        <v>41411</v>
      </c>
      <c r="G37" s="1">
        <f>IF(E37&lt;=DATE(2012,9,1),2012,IF(E37&lt;=DATE(2013,9,1),2013,IF(E37&lt;=DATE(2014,9,1),2014,IF(E37&lt;=DATE(2015,9,1),2015,2016))))</f>
        <v>2013</v>
      </c>
      <c r="H37" s="2" t="str">
        <f t="shared" si="5"/>
        <v/>
      </c>
      <c r="I37" s="2" t="str">
        <f t="shared" si="1"/>
        <v>May</v>
      </c>
      <c r="J37" s="2" t="str">
        <f t="shared" si="6"/>
        <v>Wed</v>
      </c>
      <c r="K37" s="2" t="str">
        <f t="shared" si="2"/>
        <v>201310</v>
      </c>
    </row>
    <row r="38" spans="3:11" x14ac:dyDescent="0.2">
      <c r="C38" s="2">
        <v>11</v>
      </c>
      <c r="D38" s="9">
        <f t="shared" si="3"/>
        <v>41407</v>
      </c>
      <c r="E38" s="9">
        <f t="shared" si="4"/>
        <v>41420</v>
      </c>
      <c r="F38" s="9">
        <f t="shared" si="0"/>
        <v>41425</v>
      </c>
      <c r="G38" s="1">
        <f>IF(E38&lt;=DATE(2012,9,1),2012,IF(E38&lt;=DATE(2013,9,1),2013,IF(E38&lt;=DATE(2014,9,1),2014,IF(E38&lt;=DATE(2015,9,1),2015,2016))))</f>
        <v>2013</v>
      </c>
      <c r="H38" s="2" t="str">
        <f t="shared" si="5"/>
        <v/>
      </c>
      <c r="I38" s="2" t="str">
        <f t="shared" si="1"/>
        <v>May</v>
      </c>
      <c r="J38" s="2" t="str">
        <f t="shared" si="6"/>
        <v/>
      </c>
      <c r="K38" s="2" t="str">
        <f t="shared" si="2"/>
        <v>201311</v>
      </c>
    </row>
    <row r="39" spans="3:11" x14ac:dyDescent="0.2">
      <c r="C39" s="2">
        <v>12</v>
      </c>
      <c r="D39" s="9">
        <f t="shared" si="3"/>
        <v>41421</v>
      </c>
      <c r="E39" s="9">
        <f t="shared" si="4"/>
        <v>41434</v>
      </c>
      <c r="F39" s="9">
        <f t="shared" si="0"/>
        <v>41439</v>
      </c>
      <c r="G39" s="1">
        <f>IF(E39&lt;=DATE(2012,9,1),2012,IF(E39&lt;=DATE(2013,9,1),2013,IF(E39&lt;=DATE(2014,9,1),2014,IF(E39&lt;=DATE(2015,9,1),2015,2016))))</f>
        <v>2013</v>
      </c>
      <c r="H39" s="2" t="str">
        <f t="shared" si="5"/>
        <v/>
      </c>
      <c r="I39" s="2" t="str">
        <f t="shared" si="1"/>
        <v>June</v>
      </c>
      <c r="J39" s="2" t="str">
        <f t="shared" si="6"/>
        <v>Sat</v>
      </c>
      <c r="K39" s="2" t="str">
        <f t="shared" si="2"/>
        <v>201312</v>
      </c>
    </row>
    <row r="40" spans="3:11" x14ac:dyDescent="0.2">
      <c r="C40" s="2">
        <v>13</v>
      </c>
      <c r="D40" s="9">
        <f t="shared" si="3"/>
        <v>41435</v>
      </c>
      <c r="E40" s="9">
        <f t="shared" si="4"/>
        <v>41448</v>
      </c>
      <c r="F40" s="9">
        <f t="shared" si="0"/>
        <v>41453</v>
      </c>
      <c r="G40" s="1">
        <f>IF(E40&lt;=DATE(2012,9,1),2012,IF(E40&lt;=DATE(2013,9,1),2013,IF(E40&lt;=DATE(2014,9,1),2014,IF(E40&lt;=DATE(2015,9,1),2015,2016))))</f>
        <v>2013</v>
      </c>
      <c r="H40" s="2" t="str">
        <f t="shared" si="5"/>
        <v/>
      </c>
      <c r="I40" s="2" t="str">
        <f t="shared" si="1"/>
        <v>June</v>
      </c>
      <c r="J40" s="2" t="str">
        <f t="shared" si="6"/>
        <v/>
      </c>
      <c r="K40" s="2" t="str">
        <f t="shared" si="2"/>
        <v>201313</v>
      </c>
    </row>
    <row r="41" spans="3:11" x14ac:dyDescent="0.2">
      <c r="C41" s="2">
        <v>14</v>
      </c>
      <c r="D41" s="9">
        <f t="shared" si="3"/>
        <v>41449</v>
      </c>
      <c r="E41" s="9">
        <f t="shared" si="4"/>
        <v>41462</v>
      </c>
      <c r="F41" s="9">
        <f t="shared" si="0"/>
        <v>41467</v>
      </c>
      <c r="G41" s="1">
        <f>IF(E41&lt;=DATE(2012,9,1),2012,IF(E41&lt;=DATE(2013,9,1),2013,IF(E41&lt;=DATE(2014,9,1),2014,IF(E41&lt;=DATE(2015,9,1),2015,2016))))</f>
        <v>2013</v>
      </c>
      <c r="H41" s="2" t="str">
        <f t="shared" si="5"/>
        <v/>
      </c>
      <c r="I41" s="2" t="str">
        <f t="shared" si="1"/>
        <v>July</v>
      </c>
      <c r="J41" s="2" t="str">
        <f t="shared" si="6"/>
        <v>Mon</v>
      </c>
      <c r="K41" s="2" t="str">
        <f t="shared" si="2"/>
        <v>201314</v>
      </c>
    </row>
    <row r="42" spans="3:11" x14ac:dyDescent="0.2">
      <c r="C42" s="2">
        <v>15</v>
      </c>
      <c r="D42" s="9">
        <f t="shared" si="3"/>
        <v>41463</v>
      </c>
      <c r="E42" s="9">
        <f t="shared" si="4"/>
        <v>41476</v>
      </c>
      <c r="F42" s="9">
        <f t="shared" si="0"/>
        <v>41481</v>
      </c>
      <c r="G42" s="1">
        <f>IF(E42&lt;=DATE(2012,9,1),2012,IF(E42&lt;=DATE(2013,9,1),2013,IF(E42&lt;=DATE(2014,9,1),2014,IF(E42&lt;=DATE(2015,9,1),2015,2016))))</f>
        <v>2013</v>
      </c>
      <c r="H42" s="2" t="str">
        <f t="shared" si="5"/>
        <v/>
      </c>
      <c r="I42" s="2" t="str">
        <f t="shared" si="1"/>
        <v>July</v>
      </c>
      <c r="J42" s="2" t="str">
        <f t="shared" si="6"/>
        <v/>
      </c>
      <c r="K42" s="2" t="str">
        <f t="shared" si="2"/>
        <v>201315</v>
      </c>
    </row>
    <row r="43" spans="3:11" x14ac:dyDescent="0.2">
      <c r="C43" s="2">
        <v>16</v>
      </c>
      <c r="D43" s="9">
        <f t="shared" si="3"/>
        <v>41477</v>
      </c>
      <c r="E43" s="9">
        <f t="shared" si="4"/>
        <v>41490</v>
      </c>
      <c r="F43" s="9">
        <f t="shared" si="0"/>
        <v>41495</v>
      </c>
      <c r="G43" s="1">
        <f>IF(E43&lt;=DATE(2012,9,1),2012,IF(E43&lt;=DATE(2013,9,1),2013,IF(E43&lt;=DATE(2014,9,1),2014,IF(E43&lt;=DATE(2015,9,1),2015,2016))))</f>
        <v>2013</v>
      </c>
      <c r="H43" s="2" t="str">
        <f t="shared" si="5"/>
        <v/>
      </c>
      <c r="I43" s="2" t="str">
        <f t="shared" si="1"/>
        <v>August</v>
      </c>
      <c r="J43" s="2" t="str">
        <f t="shared" si="6"/>
        <v>Thu</v>
      </c>
      <c r="K43" s="2" t="str">
        <f t="shared" si="2"/>
        <v>201316</v>
      </c>
    </row>
    <row r="44" spans="3:11" x14ac:dyDescent="0.2">
      <c r="C44" s="2">
        <v>17</v>
      </c>
      <c r="D44" s="9">
        <f t="shared" si="3"/>
        <v>41491</v>
      </c>
      <c r="E44" s="9">
        <f t="shared" si="4"/>
        <v>41504</v>
      </c>
      <c r="F44" s="9">
        <f t="shared" si="0"/>
        <v>41509</v>
      </c>
      <c r="G44" s="1">
        <f>IF(E44&lt;=DATE(2012,9,1),2012,IF(E44&lt;=DATE(2013,9,1),2013,IF(E44&lt;=DATE(2014,9,1),2014,IF(E44&lt;=DATE(2015,9,1),2015,2016))))</f>
        <v>2013</v>
      </c>
      <c r="H44" s="2" t="str">
        <f t="shared" si="5"/>
        <v/>
      </c>
      <c r="I44" s="2" t="str">
        <f t="shared" si="1"/>
        <v>August</v>
      </c>
      <c r="J44" s="2" t="str">
        <f t="shared" si="6"/>
        <v/>
      </c>
      <c r="K44" s="2" t="str">
        <f t="shared" si="2"/>
        <v>201317</v>
      </c>
    </row>
    <row r="45" spans="3:11" x14ac:dyDescent="0.2">
      <c r="C45" s="2">
        <v>18</v>
      </c>
      <c r="D45" s="9">
        <f t="shared" si="3"/>
        <v>41505</v>
      </c>
      <c r="E45" s="9">
        <f t="shared" si="4"/>
        <v>41518</v>
      </c>
      <c r="F45" s="9">
        <f t="shared" si="0"/>
        <v>41523</v>
      </c>
      <c r="G45" s="1">
        <f>IF(E45&lt;=DATE(2012,9,1),2012,IF(E45&lt;=DATE(2013,9,1),2013,IF(E45&lt;=DATE(2014,9,1),2014,IF(E45&lt;=DATE(2015,9,1),2015,2016))))</f>
        <v>2013</v>
      </c>
      <c r="H45" s="2">
        <f t="shared" si="5"/>
        <v>13</v>
      </c>
      <c r="I45" s="2" t="str">
        <f t="shared" si="1"/>
        <v>September</v>
      </c>
      <c r="J45" s="2" t="str">
        <f t="shared" si="6"/>
        <v>Sun</v>
      </c>
      <c r="K45" s="2" t="str">
        <f t="shared" si="2"/>
        <v>201318</v>
      </c>
    </row>
    <row r="46" spans="3:11" x14ac:dyDescent="0.2">
      <c r="C46" s="2">
        <v>19</v>
      </c>
      <c r="D46" s="9">
        <f t="shared" si="3"/>
        <v>41519</v>
      </c>
      <c r="E46" s="9">
        <f t="shared" si="4"/>
        <v>41532</v>
      </c>
      <c r="F46" s="9">
        <f t="shared" si="0"/>
        <v>41537</v>
      </c>
      <c r="G46" s="1">
        <f>IF(E46&lt;=DATE(2012,9,1),2012,IF(E46&lt;=DATE(2013,9,1),2013,IF(E46&lt;=DATE(2014,9,1),2014,IF(E46&lt;=DATE(2015,9,1),2015,2016))))</f>
        <v>2014</v>
      </c>
      <c r="H46" s="2" t="str">
        <f t="shared" si="5"/>
        <v/>
      </c>
      <c r="I46" s="2" t="str">
        <f t="shared" si="1"/>
        <v>September</v>
      </c>
      <c r="J46" s="2" t="str">
        <f t="shared" si="6"/>
        <v/>
      </c>
      <c r="K46" s="2" t="str">
        <f t="shared" si="2"/>
        <v>201419</v>
      </c>
    </row>
    <row r="47" spans="3:11" x14ac:dyDescent="0.2">
      <c r="C47" s="2">
        <v>20</v>
      </c>
      <c r="D47" s="9">
        <f t="shared" si="3"/>
        <v>41533</v>
      </c>
      <c r="E47" s="9">
        <f t="shared" si="4"/>
        <v>41546</v>
      </c>
      <c r="F47" s="9">
        <f t="shared" si="0"/>
        <v>41551</v>
      </c>
      <c r="G47" s="1">
        <f>IF(E47&lt;=DATE(2012,9,1),2012,IF(E47&lt;=DATE(2013,9,1),2013,IF(E47&lt;=DATE(2014,9,1),2014,IF(E47&lt;=DATE(2015,9,1),2015,2016))))</f>
        <v>2014</v>
      </c>
      <c r="H47" s="2" t="str">
        <f t="shared" si="5"/>
        <v/>
      </c>
      <c r="I47" s="2" t="str">
        <f t="shared" si="1"/>
        <v>October</v>
      </c>
      <c r="J47" s="2" t="str">
        <f t="shared" si="6"/>
        <v/>
      </c>
      <c r="K47" s="2" t="str">
        <f t="shared" si="2"/>
        <v>201420</v>
      </c>
    </row>
    <row r="48" spans="3:11" x14ac:dyDescent="0.2">
      <c r="C48" s="2">
        <v>21</v>
      </c>
      <c r="D48" s="9">
        <f t="shared" si="3"/>
        <v>41547</v>
      </c>
      <c r="E48" s="9">
        <f t="shared" si="4"/>
        <v>41560</v>
      </c>
      <c r="F48" s="9">
        <f t="shared" si="0"/>
        <v>41565</v>
      </c>
      <c r="G48" s="1">
        <f>IF(E48&lt;=DATE(2012,9,1),2012,IF(E48&lt;=DATE(2013,9,1),2013,IF(E48&lt;=DATE(2014,9,1),2014,IF(E48&lt;=DATE(2015,9,1),2015,2016))))</f>
        <v>2014</v>
      </c>
      <c r="H48" s="2" t="str">
        <f t="shared" si="5"/>
        <v/>
      </c>
      <c r="I48" s="2" t="str">
        <f t="shared" si="1"/>
        <v>October</v>
      </c>
      <c r="J48" s="2" t="str">
        <f t="shared" si="6"/>
        <v>Wed</v>
      </c>
      <c r="K48" s="2" t="str">
        <f t="shared" si="2"/>
        <v>201421</v>
      </c>
    </row>
    <row r="49" spans="3:11" x14ac:dyDescent="0.2">
      <c r="C49" s="2">
        <v>22</v>
      </c>
      <c r="D49" s="9">
        <f t="shared" si="3"/>
        <v>41561</v>
      </c>
      <c r="E49" s="9">
        <f t="shared" si="4"/>
        <v>41574</v>
      </c>
      <c r="F49" s="9">
        <f t="shared" si="0"/>
        <v>41579</v>
      </c>
      <c r="G49" s="1">
        <f>IF(E49&lt;=DATE(2012,9,1),2012,IF(E49&lt;=DATE(2013,9,1),2013,IF(E49&lt;=DATE(2014,9,1),2014,IF(E49&lt;=DATE(2015,9,1),2015,2016))))</f>
        <v>2014</v>
      </c>
      <c r="H49" s="2" t="str">
        <f t="shared" si="5"/>
        <v/>
      </c>
      <c r="I49" s="2" t="str">
        <f t="shared" si="1"/>
        <v>November</v>
      </c>
      <c r="J49" s="2" t="str">
        <f t="shared" si="6"/>
        <v/>
      </c>
      <c r="K49" s="2" t="str">
        <f t="shared" si="2"/>
        <v>201422</v>
      </c>
    </row>
    <row r="50" spans="3:11" x14ac:dyDescent="0.2">
      <c r="C50" s="2">
        <v>23</v>
      </c>
      <c r="D50" s="9">
        <f t="shared" si="3"/>
        <v>41575</v>
      </c>
      <c r="E50" s="9">
        <f t="shared" si="4"/>
        <v>41588</v>
      </c>
      <c r="F50" s="9">
        <f t="shared" si="0"/>
        <v>41593</v>
      </c>
      <c r="G50" s="1">
        <f>IF(E50&lt;=DATE(2012,9,1),2012,IF(E50&lt;=DATE(2013,9,1),2013,IF(E50&lt;=DATE(2014,9,1),2014,IF(E50&lt;=DATE(2015,9,1),2015,2016))))</f>
        <v>2014</v>
      </c>
      <c r="H50" s="2" t="str">
        <f t="shared" si="5"/>
        <v/>
      </c>
      <c r="I50" s="2" t="str">
        <f t="shared" si="1"/>
        <v>November</v>
      </c>
      <c r="J50" s="2" t="str">
        <f t="shared" si="6"/>
        <v>Sat</v>
      </c>
      <c r="K50" s="2" t="str">
        <f t="shared" si="2"/>
        <v>201423</v>
      </c>
    </row>
    <row r="51" spans="3:11" x14ac:dyDescent="0.2">
      <c r="C51" s="2">
        <v>24</v>
      </c>
      <c r="D51" s="9">
        <f t="shared" si="3"/>
        <v>41589</v>
      </c>
      <c r="E51" s="9">
        <f t="shared" si="4"/>
        <v>41602</v>
      </c>
      <c r="F51" s="9">
        <f t="shared" si="0"/>
        <v>41607</v>
      </c>
      <c r="G51" s="1">
        <f>IF(E51&lt;=DATE(2012,9,1),2012,IF(E51&lt;=DATE(2013,9,1),2013,IF(E51&lt;=DATE(2014,9,1),2014,IF(E51&lt;=DATE(2015,9,1),2015,2016))))</f>
        <v>2014</v>
      </c>
      <c r="H51" s="2" t="str">
        <f t="shared" si="5"/>
        <v/>
      </c>
      <c r="I51" s="2" t="str">
        <f t="shared" si="1"/>
        <v>November</v>
      </c>
      <c r="J51" s="2" t="str">
        <f t="shared" si="6"/>
        <v/>
      </c>
      <c r="K51" s="2" t="str">
        <f t="shared" si="2"/>
        <v>201424</v>
      </c>
    </row>
    <row r="52" spans="3:11" x14ac:dyDescent="0.2">
      <c r="C52" s="2">
        <v>25</v>
      </c>
      <c r="D52" s="9">
        <f t="shared" si="3"/>
        <v>41603</v>
      </c>
      <c r="E52" s="9">
        <f t="shared" si="4"/>
        <v>41616</v>
      </c>
      <c r="F52" s="9">
        <f t="shared" si="0"/>
        <v>41621</v>
      </c>
      <c r="G52" s="1">
        <f>IF(E52&lt;=DATE(2012,9,1),2012,IF(E52&lt;=DATE(2013,9,1),2013,IF(E52&lt;=DATE(2014,9,1),2014,IF(E52&lt;=DATE(2015,9,1),2015,2016))))</f>
        <v>2014</v>
      </c>
      <c r="H52" s="2" t="str">
        <f t="shared" si="5"/>
        <v/>
      </c>
      <c r="I52" s="2" t="str">
        <f t="shared" si="1"/>
        <v>December</v>
      </c>
      <c r="J52" s="2" t="str">
        <f t="shared" si="6"/>
        <v>Mon</v>
      </c>
      <c r="K52" s="2" t="str">
        <f t="shared" si="2"/>
        <v>201425</v>
      </c>
    </row>
    <row r="53" spans="3:11" x14ac:dyDescent="0.2">
      <c r="C53" s="2">
        <v>26</v>
      </c>
      <c r="D53" s="9">
        <f t="shared" si="3"/>
        <v>41617</v>
      </c>
      <c r="E53" s="9">
        <f t="shared" si="4"/>
        <v>41630</v>
      </c>
      <c r="F53" s="9">
        <f t="shared" si="0"/>
        <v>41635</v>
      </c>
      <c r="G53" s="1">
        <f>IF(E53&lt;=DATE(2012,9,1),2012,IF(E53&lt;=DATE(2013,9,1),2013,IF(E53&lt;=DATE(2014,9,1),2014,IF(E53&lt;=DATE(2015,9,1),2015,2016))))</f>
        <v>2014</v>
      </c>
      <c r="H53" s="2" t="str">
        <f t="shared" si="5"/>
        <v/>
      </c>
      <c r="I53" s="2" t="str">
        <f t="shared" si="1"/>
        <v>December</v>
      </c>
      <c r="J53" s="2" t="str">
        <f t="shared" si="6"/>
        <v/>
      </c>
      <c r="K53" s="2" t="str">
        <f t="shared" si="2"/>
        <v>201426</v>
      </c>
    </row>
    <row r="54" spans="3:11" x14ac:dyDescent="0.2">
      <c r="C54">
        <v>1</v>
      </c>
      <c r="D54" s="9">
        <f t="shared" si="3"/>
        <v>41631</v>
      </c>
      <c r="E54" s="9">
        <f t="shared" si="4"/>
        <v>41644</v>
      </c>
      <c r="F54" s="9">
        <f t="shared" si="0"/>
        <v>41649</v>
      </c>
      <c r="G54" s="1">
        <f>IF(E54&lt;=DATE(2012,9,1),2012,IF(E54&lt;=DATE(2013,9,1),2013,IF(E54&lt;=DATE(2014,9,1),2014,IF(E54&lt;=DATE(2015,9,1),2015,2016))))</f>
        <v>2014</v>
      </c>
      <c r="H54" s="2" t="str">
        <f t="shared" si="5"/>
        <v/>
      </c>
      <c r="I54" s="2" t="str">
        <f t="shared" si="1"/>
        <v>January</v>
      </c>
      <c r="J54" s="2" t="str">
        <f t="shared" si="6"/>
        <v>Wed</v>
      </c>
      <c r="K54" s="2" t="str">
        <f t="shared" si="2"/>
        <v>20141</v>
      </c>
    </row>
    <row r="55" spans="3:11" x14ac:dyDescent="0.2">
      <c r="C55">
        <v>2</v>
      </c>
      <c r="D55" s="9">
        <f t="shared" si="3"/>
        <v>41645</v>
      </c>
      <c r="E55" s="9">
        <f t="shared" si="4"/>
        <v>41658</v>
      </c>
      <c r="F55" s="9">
        <f t="shared" si="0"/>
        <v>41663</v>
      </c>
      <c r="G55" s="1">
        <f>IF(E55&lt;=DATE(2012,9,1),2012,IF(E55&lt;=DATE(2013,9,1),2013,IF(E55&lt;=DATE(2014,9,1),2014,IF(E55&lt;=DATE(2015,9,1),2015,2016))))</f>
        <v>2014</v>
      </c>
      <c r="H55" s="2" t="str">
        <f t="shared" si="5"/>
        <v/>
      </c>
      <c r="I55" s="2" t="str">
        <f t="shared" si="1"/>
        <v>January</v>
      </c>
      <c r="J55" s="2" t="str">
        <f t="shared" si="6"/>
        <v/>
      </c>
      <c r="K55" s="2" t="str">
        <f t="shared" si="2"/>
        <v>20142</v>
      </c>
    </row>
    <row r="56" spans="3:11" x14ac:dyDescent="0.2">
      <c r="C56" s="2">
        <v>3</v>
      </c>
      <c r="D56" s="9">
        <f t="shared" si="3"/>
        <v>41659</v>
      </c>
      <c r="E56" s="9">
        <f t="shared" si="4"/>
        <v>41672</v>
      </c>
      <c r="F56" s="9">
        <f t="shared" si="0"/>
        <v>41677</v>
      </c>
      <c r="G56" s="1">
        <f>IF(E56&lt;=DATE(2012,9,1),2012,IF(E56&lt;=DATE(2013,9,1),2013,IF(E56&lt;=DATE(2014,9,1),2014,IF(E56&lt;=DATE(2015,9,1),2015,2016))))</f>
        <v>2014</v>
      </c>
      <c r="H56" s="2" t="str">
        <f t="shared" si="5"/>
        <v/>
      </c>
      <c r="I56" s="2" t="str">
        <f t="shared" si="1"/>
        <v>February</v>
      </c>
      <c r="J56" s="2" t="str">
        <f t="shared" si="6"/>
        <v>Sat</v>
      </c>
      <c r="K56" s="2" t="str">
        <f t="shared" si="2"/>
        <v>20143</v>
      </c>
    </row>
    <row r="57" spans="3:11" x14ac:dyDescent="0.2">
      <c r="C57" s="2">
        <v>4</v>
      </c>
      <c r="D57" s="9">
        <f t="shared" si="3"/>
        <v>41673</v>
      </c>
      <c r="E57" s="9">
        <f t="shared" si="4"/>
        <v>41686</v>
      </c>
      <c r="F57" s="9">
        <f t="shared" si="0"/>
        <v>41691</v>
      </c>
      <c r="G57" s="1">
        <f>IF(E57&lt;=DATE(2012,9,1),2012,IF(E57&lt;=DATE(2013,9,1),2013,IF(E57&lt;=DATE(2014,9,1),2014,IF(E57&lt;=DATE(2015,9,1),2015,2016))))</f>
        <v>2014</v>
      </c>
      <c r="H57" s="2" t="str">
        <f t="shared" si="5"/>
        <v/>
      </c>
      <c r="I57" s="2" t="str">
        <f t="shared" si="1"/>
        <v>February</v>
      </c>
      <c r="J57" s="2" t="str">
        <f t="shared" si="6"/>
        <v/>
      </c>
      <c r="K57" s="2" t="str">
        <f t="shared" si="2"/>
        <v>20144</v>
      </c>
    </row>
    <row r="58" spans="3:11" x14ac:dyDescent="0.2">
      <c r="C58" s="2">
        <v>5</v>
      </c>
      <c r="D58" s="9">
        <f t="shared" si="3"/>
        <v>41687</v>
      </c>
      <c r="E58" s="9">
        <f t="shared" si="4"/>
        <v>41700</v>
      </c>
      <c r="F58" s="9">
        <f t="shared" si="0"/>
        <v>41705</v>
      </c>
      <c r="G58" s="1">
        <f>IF(E58&lt;=DATE(2012,9,1),2012,IF(E58&lt;=DATE(2013,9,1),2013,IF(E58&lt;=DATE(2014,9,1),2014,IF(E58&lt;=DATE(2015,9,1),2015,2016))))</f>
        <v>2014</v>
      </c>
      <c r="H58" s="2" t="str">
        <f t="shared" si="5"/>
        <v/>
      </c>
      <c r="I58" s="2" t="str">
        <f t="shared" si="1"/>
        <v>March</v>
      </c>
      <c r="J58" s="2" t="str">
        <f t="shared" si="6"/>
        <v>Sat</v>
      </c>
      <c r="K58" s="2" t="str">
        <f t="shared" si="2"/>
        <v>20145</v>
      </c>
    </row>
    <row r="59" spans="3:11" x14ac:dyDescent="0.2">
      <c r="C59" s="2">
        <v>6</v>
      </c>
      <c r="D59" s="9">
        <f t="shared" si="3"/>
        <v>41701</v>
      </c>
      <c r="E59" s="9">
        <f t="shared" si="4"/>
        <v>41714</v>
      </c>
      <c r="F59" s="9">
        <f t="shared" si="0"/>
        <v>41719</v>
      </c>
      <c r="G59" s="1">
        <f>IF(E59&lt;=DATE(2012,9,1),2012,IF(E59&lt;=DATE(2013,9,1),2013,IF(E59&lt;=DATE(2014,9,1),2014,IF(E59&lt;=DATE(2015,9,1),2015,2016))))</f>
        <v>2014</v>
      </c>
      <c r="H59" s="2" t="str">
        <f t="shared" si="5"/>
        <v/>
      </c>
      <c r="I59" s="2" t="str">
        <f t="shared" si="1"/>
        <v>March</v>
      </c>
      <c r="J59" s="2" t="str">
        <f t="shared" si="6"/>
        <v/>
      </c>
      <c r="K59" s="2" t="str">
        <f t="shared" si="2"/>
        <v>20146</v>
      </c>
    </row>
    <row r="60" spans="3:11" x14ac:dyDescent="0.2">
      <c r="C60" s="2">
        <v>7</v>
      </c>
      <c r="D60" s="9">
        <f t="shared" si="3"/>
        <v>41715</v>
      </c>
      <c r="E60" s="9">
        <f t="shared" si="4"/>
        <v>41728</v>
      </c>
      <c r="F60" s="9">
        <f t="shared" si="0"/>
        <v>41733</v>
      </c>
      <c r="G60" s="1">
        <f>IF(E60&lt;=DATE(2012,9,1),2012,IF(E60&lt;=DATE(2013,9,1),2013,IF(E60&lt;=DATE(2014,9,1),2014,IF(E60&lt;=DATE(2015,9,1),2015,2016))))</f>
        <v>2014</v>
      </c>
      <c r="H60" s="2" t="str">
        <f t="shared" si="5"/>
        <v/>
      </c>
      <c r="I60" s="2" t="str">
        <f t="shared" si="1"/>
        <v>April</v>
      </c>
      <c r="J60" s="2" t="str">
        <f t="shared" si="6"/>
        <v/>
      </c>
      <c r="K60" s="2" t="str">
        <f t="shared" si="2"/>
        <v>20147</v>
      </c>
    </row>
    <row r="61" spans="3:11" x14ac:dyDescent="0.2">
      <c r="C61" s="2">
        <v>8</v>
      </c>
      <c r="D61" s="9">
        <f t="shared" si="3"/>
        <v>41729</v>
      </c>
      <c r="E61" s="9">
        <f t="shared" si="4"/>
        <v>41742</v>
      </c>
      <c r="F61" s="9">
        <f t="shared" si="0"/>
        <v>41747</v>
      </c>
      <c r="G61" s="1">
        <f>IF(E61&lt;=DATE(2012,9,1),2012,IF(E61&lt;=DATE(2013,9,1),2013,IF(E61&lt;=DATE(2014,9,1),2014,IF(E61&lt;=DATE(2015,9,1),2015,2016))))</f>
        <v>2014</v>
      </c>
      <c r="H61" s="2" t="str">
        <f t="shared" si="5"/>
        <v/>
      </c>
      <c r="I61" s="2" t="str">
        <f t="shared" si="1"/>
        <v>April</v>
      </c>
      <c r="J61" s="2" t="str">
        <f t="shared" si="6"/>
        <v>Tue</v>
      </c>
      <c r="K61" s="2" t="str">
        <f t="shared" si="2"/>
        <v>20148</v>
      </c>
    </row>
    <row r="62" spans="3:11" x14ac:dyDescent="0.2">
      <c r="C62" s="2">
        <v>9</v>
      </c>
      <c r="D62" s="9">
        <f t="shared" si="3"/>
        <v>41743</v>
      </c>
      <c r="E62" s="9">
        <f t="shared" si="4"/>
        <v>41756</v>
      </c>
      <c r="F62" s="9">
        <f t="shared" si="0"/>
        <v>41761</v>
      </c>
      <c r="G62" s="1">
        <f>IF(E62&lt;=DATE(2012,9,1),2012,IF(E62&lt;=DATE(2013,9,1),2013,IF(E62&lt;=DATE(2014,9,1),2014,IF(E62&lt;=DATE(2015,9,1),2015,2016))))</f>
        <v>2014</v>
      </c>
      <c r="H62" s="2" t="str">
        <f t="shared" si="5"/>
        <v/>
      </c>
      <c r="I62" s="2" t="str">
        <f t="shared" si="1"/>
        <v>May</v>
      </c>
      <c r="J62" s="2" t="str">
        <f t="shared" si="6"/>
        <v/>
      </c>
      <c r="K62" s="2" t="str">
        <f t="shared" si="2"/>
        <v>20149</v>
      </c>
    </row>
    <row r="63" spans="3:11" x14ac:dyDescent="0.2">
      <c r="C63" s="2">
        <v>10</v>
      </c>
      <c r="D63" s="9">
        <f t="shared" si="3"/>
        <v>41757</v>
      </c>
      <c r="E63" s="9">
        <f t="shared" si="4"/>
        <v>41770</v>
      </c>
      <c r="F63" s="9">
        <f t="shared" si="0"/>
        <v>41775</v>
      </c>
      <c r="G63" s="1">
        <f>IF(E63&lt;=DATE(2012,9,1),2012,IF(E63&lt;=DATE(2013,9,1),2013,IF(E63&lt;=DATE(2014,9,1),2014,IF(E63&lt;=DATE(2015,9,1),2015,2016))))</f>
        <v>2014</v>
      </c>
      <c r="H63" s="2" t="str">
        <f t="shared" si="5"/>
        <v/>
      </c>
      <c r="I63" s="2" t="str">
        <f t="shared" si="1"/>
        <v>May</v>
      </c>
      <c r="J63" s="2" t="str">
        <f t="shared" si="6"/>
        <v>Thu</v>
      </c>
      <c r="K63" s="2" t="str">
        <f t="shared" si="2"/>
        <v>201410</v>
      </c>
    </row>
    <row r="64" spans="3:11" x14ac:dyDescent="0.2">
      <c r="C64" s="2">
        <v>11</v>
      </c>
      <c r="D64" s="9">
        <f t="shared" si="3"/>
        <v>41771</v>
      </c>
      <c r="E64" s="9">
        <f t="shared" si="4"/>
        <v>41784</v>
      </c>
      <c r="F64" s="9">
        <f t="shared" si="0"/>
        <v>41789</v>
      </c>
      <c r="G64" s="1">
        <f>IF(E64&lt;=DATE(2012,9,1),2012,IF(E64&lt;=DATE(2013,9,1),2013,IF(E64&lt;=DATE(2014,9,1),2014,IF(E64&lt;=DATE(2015,9,1),2015,2016))))</f>
        <v>2014</v>
      </c>
      <c r="H64" s="2" t="str">
        <f t="shared" si="5"/>
        <v/>
      </c>
      <c r="I64" s="2" t="str">
        <f t="shared" si="1"/>
        <v>May</v>
      </c>
      <c r="J64" s="2" t="str">
        <f t="shared" si="6"/>
        <v/>
      </c>
      <c r="K64" s="2" t="str">
        <f t="shared" si="2"/>
        <v>201411</v>
      </c>
    </row>
    <row r="65" spans="3:11" x14ac:dyDescent="0.2">
      <c r="C65" s="2">
        <v>12</v>
      </c>
      <c r="D65" s="9">
        <f t="shared" si="3"/>
        <v>41785</v>
      </c>
      <c r="E65" s="9">
        <f t="shared" si="4"/>
        <v>41798</v>
      </c>
      <c r="F65" s="9">
        <f t="shared" si="0"/>
        <v>41803</v>
      </c>
      <c r="G65" s="1">
        <f>IF(E65&lt;=DATE(2012,9,1),2012,IF(E65&lt;=DATE(2013,9,1),2013,IF(E65&lt;=DATE(2014,9,1),2014,IF(E65&lt;=DATE(2015,9,1),2015,2016))))</f>
        <v>2014</v>
      </c>
      <c r="H65" s="2" t="str">
        <f t="shared" si="5"/>
        <v/>
      </c>
      <c r="I65" s="2" t="str">
        <f t="shared" si="1"/>
        <v>June</v>
      </c>
      <c r="J65" s="2" t="str">
        <f t="shared" si="6"/>
        <v>Sun</v>
      </c>
      <c r="K65" s="2" t="str">
        <f t="shared" si="2"/>
        <v>201412</v>
      </c>
    </row>
    <row r="66" spans="3:11" x14ac:dyDescent="0.2">
      <c r="C66" s="2">
        <v>13</v>
      </c>
      <c r="D66" s="9">
        <f t="shared" si="3"/>
        <v>41799</v>
      </c>
      <c r="E66" s="9">
        <f t="shared" si="4"/>
        <v>41812</v>
      </c>
      <c r="F66" s="9">
        <f t="shared" si="0"/>
        <v>41817</v>
      </c>
      <c r="G66" s="1">
        <f>IF(E66&lt;=DATE(2012,9,1),2012,IF(E66&lt;=DATE(2013,9,1),2013,IF(E66&lt;=DATE(2014,9,1),2014,IF(E66&lt;=DATE(2015,9,1),2015,2016))))</f>
        <v>2014</v>
      </c>
      <c r="H66" s="2" t="str">
        <f t="shared" si="5"/>
        <v/>
      </c>
      <c r="I66" s="2" t="str">
        <f t="shared" si="1"/>
        <v>June</v>
      </c>
      <c r="J66" s="2" t="str">
        <f t="shared" si="6"/>
        <v/>
      </c>
      <c r="K66" s="2" t="str">
        <f t="shared" si="2"/>
        <v>201413</v>
      </c>
    </row>
    <row r="67" spans="3:11" x14ac:dyDescent="0.2">
      <c r="C67" s="2">
        <v>14</v>
      </c>
      <c r="D67" s="9">
        <f t="shared" si="3"/>
        <v>41813</v>
      </c>
      <c r="E67" s="9">
        <f t="shared" si="4"/>
        <v>41826</v>
      </c>
      <c r="F67" s="9">
        <f t="shared" ref="F67:F124" si="7">E67+5</f>
        <v>41831</v>
      </c>
      <c r="G67" s="1">
        <f>IF(E67&lt;=DATE(2012,9,1),2012,IF(E67&lt;=DATE(2013,9,1),2013,IF(E67&lt;=DATE(2014,9,1),2014,IF(E67&lt;=DATE(2015,9,1),2015,2016))))</f>
        <v>2014</v>
      </c>
      <c r="H67" s="2" t="str">
        <f t="shared" si="5"/>
        <v/>
      </c>
      <c r="I67" s="2" t="str">
        <f t="shared" ref="I67:I124" si="8">CHOOSE(IF(MONTH(F67)+1=13,1,MONTH(F67)+1),"December","January","February","March","April","May","June","July","August","September","October","November")</f>
        <v>July</v>
      </c>
      <c r="J67" s="2" t="str">
        <f t="shared" si="6"/>
        <v>Tue</v>
      </c>
      <c r="K67" s="2" t="str">
        <f t="shared" ref="K67:K124" si="9">G67 &amp; C67</f>
        <v>201414</v>
      </c>
    </row>
    <row r="68" spans="3:11" x14ac:dyDescent="0.2">
      <c r="C68" s="2">
        <v>15</v>
      </c>
      <c r="D68" s="9">
        <f t="shared" ref="D68:D124" si="10">E67+1</f>
        <v>41827</v>
      </c>
      <c r="E68" s="9">
        <f t="shared" ref="E68:E124" si="11">D68+13</f>
        <v>41840</v>
      </c>
      <c r="F68" s="9">
        <f t="shared" si="7"/>
        <v>41845</v>
      </c>
      <c r="G68" s="1">
        <f>IF(E68&lt;=DATE(2012,9,1),2012,IF(E68&lt;=DATE(2013,9,1),2013,IF(E68&lt;=DATE(2014,9,1),2014,IF(E68&lt;=DATE(2015,9,1),2015,2016))))</f>
        <v>2014</v>
      </c>
      <c r="H68" s="2" t="str">
        <f t="shared" ref="H68:H118" si="12">IF(AND(D68&lt;DATE(G67,9,1),E68&gt;DATE(G67,8,31)),DATE(G67,9,1)-D68,"")</f>
        <v/>
      </c>
      <c r="I68" s="2" t="str">
        <f t="shared" si="8"/>
        <v>July</v>
      </c>
      <c r="J68" s="2" t="str">
        <f t="shared" ref="J68:J124" si="13">IF(MONTH(E68)=MONTH(E67),"",CHOOSE(WEEKDAY(DATE(G68,MONTH(F68),1),2),"Mon","Tue","Wed","Thu","Fri","Sat","Sun"))</f>
        <v/>
      </c>
      <c r="K68" s="2" t="str">
        <f t="shared" si="9"/>
        <v>201415</v>
      </c>
    </row>
    <row r="69" spans="3:11" x14ac:dyDescent="0.2">
      <c r="C69" s="2">
        <v>16</v>
      </c>
      <c r="D69" s="9">
        <f t="shared" si="10"/>
        <v>41841</v>
      </c>
      <c r="E69" s="9">
        <f t="shared" si="11"/>
        <v>41854</v>
      </c>
      <c r="F69" s="9">
        <f t="shared" si="7"/>
        <v>41859</v>
      </c>
      <c r="G69" s="1">
        <f>IF(E69&lt;=DATE(2012,9,1),2012,IF(E69&lt;=DATE(2013,9,1),2013,IF(E69&lt;=DATE(2014,9,1),2014,IF(E69&lt;=DATE(2015,9,1),2015,2016))))</f>
        <v>2014</v>
      </c>
      <c r="H69" s="2" t="str">
        <f t="shared" si="12"/>
        <v/>
      </c>
      <c r="I69" s="2" t="str">
        <f t="shared" si="8"/>
        <v>August</v>
      </c>
      <c r="J69" s="2" t="str">
        <f t="shared" si="13"/>
        <v>Fri</v>
      </c>
      <c r="K69" s="2" t="str">
        <f t="shared" si="9"/>
        <v>201416</v>
      </c>
    </row>
    <row r="70" spans="3:11" x14ac:dyDescent="0.2">
      <c r="C70" s="2">
        <v>17</v>
      </c>
      <c r="D70" s="9">
        <f t="shared" si="10"/>
        <v>41855</v>
      </c>
      <c r="E70" s="9">
        <f t="shared" si="11"/>
        <v>41868</v>
      </c>
      <c r="F70" s="9">
        <f t="shared" si="7"/>
        <v>41873</v>
      </c>
      <c r="G70" s="1">
        <f>IF(E70&lt;=DATE(2012,9,1),2012,IF(E70&lt;=DATE(2013,9,1),2013,IF(E70&lt;=DATE(2014,9,1),2014,IF(E70&lt;=DATE(2015,9,1),2015,2016))))</f>
        <v>2014</v>
      </c>
      <c r="H70" s="2" t="str">
        <f t="shared" si="12"/>
        <v/>
      </c>
      <c r="I70" s="2" t="str">
        <f t="shared" si="8"/>
        <v>August</v>
      </c>
      <c r="J70" s="2" t="str">
        <f t="shared" si="13"/>
        <v/>
      </c>
      <c r="K70" s="2" t="str">
        <f t="shared" si="9"/>
        <v>201417</v>
      </c>
    </row>
    <row r="71" spans="3:11" x14ac:dyDescent="0.2">
      <c r="C71" s="2">
        <v>18</v>
      </c>
      <c r="D71" s="9">
        <f t="shared" si="10"/>
        <v>41869</v>
      </c>
      <c r="E71" s="9">
        <f t="shared" si="11"/>
        <v>41882</v>
      </c>
      <c r="F71" s="9">
        <f t="shared" si="7"/>
        <v>41887</v>
      </c>
      <c r="G71" s="1">
        <f>IF(E71&lt;=DATE(2012,9,1),2012,IF(E71&lt;=DATE(2013,9,1),2013,IF(E71&lt;=DATE(2014,9,1),2014,IF(E71&lt;=DATE(2015,9,1),2015,2016))))</f>
        <v>2014</v>
      </c>
      <c r="H71" s="2" t="str">
        <f t="shared" si="12"/>
        <v/>
      </c>
      <c r="I71" s="2" t="str">
        <f t="shared" si="8"/>
        <v>September</v>
      </c>
      <c r="J71" s="2" t="str">
        <f t="shared" si="13"/>
        <v/>
      </c>
      <c r="K71" s="2" t="str">
        <f t="shared" si="9"/>
        <v>201418</v>
      </c>
    </row>
    <row r="72" spans="3:11" x14ac:dyDescent="0.2">
      <c r="C72" s="2">
        <v>19</v>
      </c>
      <c r="D72" s="9">
        <f t="shared" si="10"/>
        <v>41883</v>
      </c>
      <c r="E72" s="9">
        <f t="shared" si="11"/>
        <v>41896</v>
      </c>
      <c r="F72" s="9">
        <f t="shared" si="7"/>
        <v>41901</v>
      </c>
      <c r="G72" s="1">
        <f>IF(E72&lt;=DATE(2012,9,1),2012,IF(E72&lt;=DATE(2013,9,1),2013,IF(E72&lt;=DATE(2014,9,1),2014,IF(E72&lt;=DATE(2015,9,1),2015,2016))))</f>
        <v>2015</v>
      </c>
      <c r="H72" s="2" t="str">
        <f t="shared" si="12"/>
        <v/>
      </c>
      <c r="I72" s="2" t="str">
        <f t="shared" si="8"/>
        <v>September</v>
      </c>
      <c r="J72" s="2" t="str">
        <f t="shared" si="13"/>
        <v>Tue</v>
      </c>
      <c r="K72" s="2" t="str">
        <f t="shared" si="9"/>
        <v>201519</v>
      </c>
    </row>
    <row r="73" spans="3:11" x14ac:dyDescent="0.2">
      <c r="C73" s="2">
        <v>20</v>
      </c>
      <c r="D73" s="9">
        <f t="shared" si="10"/>
        <v>41897</v>
      </c>
      <c r="E73" s="9">
        <f t="shared" si="11"/>
        <v>41910</v>
      </c>
      <c r="F73" s="9">
        <f t="shared" si="7"/>
        <v>41915</v>
      </c>
      <c r="G73" s="1">
        <f>IF(E73&lt;=DATE(2012,9,1),2012,IF(E73&lt;=DATE(2013,9,1),2013,IF(E73&lt;=DATE(2014,9,1),2014,IF(E73&lt;=DATE(2015,9,1),2015,2016))))</f>
        <v>2015</v>
      </c>
      <c r="H73" s="2" t="str">
        <f t="shared" si="12"/>
        <v/>
      </c>
      <c r="I73" s="2" t="str">
        <f t="shared" si="8"/>
        <v>October</v>
      </c>
      <c r="J73" s="2" t="str">
        <f t="shared" si="13"/>
        <v/>
      </c>
      <c r="K73" s="2" t="str">
        <f t="shared" si="9"/>
        <v>201520</v>
      </c>
    </row>
    <row r="74" spans="3:11" x14ac:dyDescent="0.2">
      <c r="C74" s="2">
        <v>21</v>
      </c>
      <c r="D74" s="9">
        <f t="shared" si="10"/>
        <v>41911</v>
      </c>
      <c r="E74" s="9">
        <f t="shared" si="11"/>
        <v>41924</v>
      </c>
      <c r="F74" s="9">
        <f t="shared" si="7"/>
        <v>41929</v>
      </c>
      <c r="G74" s="1">
        <f>IF(E74&lt;=DATE(2012,9,1),2012,IF(E74&lt;=DATE(2013,9,1),2013,IF(E74&lt;=DATE(2014,9,1),2014,IF(E74&lt;=DATE(2015,9,1),2015,2016))))</f>
        <v>2015</v>
      </c>
      <c r="H74" s="2" t="str">
        <f t="shared" si="12"/>
        <v/>
      </c>
      <c r="I74" s="2" t="str">
        <f t="shared" si="8"/>
        <v>October</v>
      </c>
      <c r="J74" s="2" t="str">
        <f t="shared" si="13"/>
        <v>Thu</v>
      </c>
      <c r="K74" s="2" t="str">
        <f t="shared" si="9"/>
        <v>201521</v>
      </c>
    </row>
    <row r="75" spans="3:11" x14ac:dyDescent="0.2">
      <c r="C75" s="2">
        <v>22</v>
      </c>
      <c r="D75" s="9">
        <f t="shared" si="10"/>
        <v>41925</v>
      </c>
      <c r="E75" s="9">
        <f t="shared" si="11"/>
        <v>41938</v>
      </c>
      <c r="F75" s="9">
        <f t="shared" si="7"/>
        <v>41943</v>
      </c>
      <c r="G75" s="1">
        <f>IF(E75&lt;=DATE(2012,9,1),2012,IF(E75&lt;=DATE(2013,9,1),2013,IF(E75&lt;=DATE(2014,9,1),2014,IF(E75&lt;=DATE(2015,9,1),2015,2016))))</f>
        <v>2015</v>
      </c>
      <c r="H75" s="2" t="str">
        <f t="shared" si="12"/>
        <v/>
      </c>
      <c r="I75" s="2" t="str">
        <f t="shared" si="8"/>
        <v>October</v>
      </c>
      <c r="J75" s="2" t="str">
        <f t="shared" si="13"/>
        <v/>
      </c>
      <c r="K75" s="2" t="str">
        <f t="shared" si="9"/>
        <v>201522</v>
      </c>
    </row>
    <row r="76" spans="3:11" x14ac:dyDescent="0.2">
      <c r="C76" s="2">
        <v>23</v>
      </c>
      <c r="D76" s="9">
        <f t="shared" si="10"/>
        <v>41939</v>
      </c>
      <c r="E76" s="9">
        <f t="shared" si="11"/>
        <v>41952</v>
      </c>
      <c r="F76" s="9">
        <f t="shared" si="7"/>
        <v>41957</v>
      </c>
      <c r="G76" s="1">
        <f>IF(E76&lt;=DATE(2012,9,1),2012,IF(E76&lt;=DATE(2013,9,1),2013,IF(E76&lt;=DATE(2014,9,1),2014,IF(E76&lt;=DATE(2015,9,1),2015,2016))))</f>
        <v>2015</v>
      </c>
      <c r="H76" s="2" t="str">
        <f t="shared" si="12"/>
        <v/>
      </c>
      <c r="I76" s="2" t="str">
        <f t="shared" si="8"/>
        <v>November</v>
      </c>
      <c r="J76" s="2" t="str">
        <f t="shared" si="13"/>
        <v>Sun</v>
      </c>
      <c r="K76" s="2" t="str">
        <f t="shared" si="9"/>
        <v>201523</v>
      </c>
    </row>
    <row r="77" spans="3:11" x14ac:dyDescent="0.2">
      <c r="C77" s="2">
        <v>24</v>
      </c>
      <c r="D77" s="9">
        <f t="shared" si="10"/>
        <v>41953</v>
      </c>
      <c r="E77" s="9">
        <f t="shared" si="11"/>
        <v>41966</v>
      </c>
      <c r="F77" s="9">
        <f t="shared" si="7"/>
        <v>41971</v>
      </c>
      <c r="G77" s="1">
        <f>IF(E77&lt;=DATE(2012,9,1),2012,IF(E77&lt;=DATE(2013,9,1),2013,IF(E77&lt;=DATE(2014,9,1),2014,IF(E77&lt;=DATE(2015,9,1),2015,2016))))</f>
        <v>2015</v>
      </c>
      <c r="H77" s="2" t="str">
        <f t="shared" si="12"/>
        <v/>
      </c>
      <c r="I77" s="2" t="str">
        <f t="shared" si="8"/>
        <v>November</v>
      </c>
      <c r="J77" s="2" t="str">
        <f t="shared" si="13"/>
        <v/>
      </c>
      <c r="K77" s="2" t="str">
        <f t="shared" si="9"/>
        <v>201524</v>
      </c>
    </row>
    <row r="78" spans="3:11" x14ac:dyDescent="0.2">
      <c r="C78" s="2">
        <v>25</v>
      </c>
      <c r="D78" s="9">
        <f t="shared" si="10"/>
        <v>41967</v>
      </c>
      <c r="E78" s="9">
        <f t="shared" si="11"/>
        <v>41980</v>
      </c>
      <c r="F78" s="9">
        <f t="shared" si="7"/>
        <v>41985</v>
      </c>
      <c r="G78" s="1">
        <f>IF(E78&lt;=DATE(2012,9,1),2012,IF(E78&lt;=DATE(2013,9,1),2013,IF(E78&lt;=DATE(2014,9,1),2014,IF(E78&lt;=DATE(2015,9,1),2015,2016))))</f>
        <v>2015</v>
      </c>
      <c r="H78" s="2" t="str">
        <f t="shared" si="12"/>
        <v/>
      </c>
      <c r="I78" s="2" t="str">
        <f t="shared" si="8"/>
        <v>December</v>
      </c>
      <c r="J78" s="2" t="str">
        <f t="shared" si="13"/>
        <v>Tue</v>
      </c>
      <c r="K78" s="2" t="str">
        <f t="shared" si="9"/>
        <v>201525</v>
      </c>
    </row>
    <row r="79" spans="3:11" x14ac:dyDescent="0.2">
      <c r="C79" s="2">
        <v>26</v>
      </c>
      <c r="D79" s="9">
        <f t="shared" si="10"/>
        <v>41981</v>
      </c>
      <c r="E79" s="9">
        <f t="shared" si="11"/>
        <v>41994</v>
      </c>
      <c r="F79" s="9">
        <f t="shared" si="7"/>
        <v>41999</v>
      </c>
      <c r="G79" s="1">
        <f>IF(E79&lt;=DATE(2012,9,1),2012,IF(E79&lt;=DATE(2013,9,1),2013,IF(E79&lt;=DATE(2014,9,1),2014,IF(E79&lt;=DATE(2015,9,1),2015,2016))))</f>
        <v>2015</v>
      </c>
      <c r="H79" s="2" t="str">
        <f t="shared" si="12"/>
        <v/>
      </c>
      <c r="I79" s="2" t="str">
        <f t="shared" si="8"/>
        <v>December</v>
      </c>
      <c r="J79" s="2" t="str">
        <f t="shared" si="13"/>
        <v/>
      </c>
      <c r="K79" s="2" t="str">
        <f t="shared" si="9"/>
        <v>201526</v>
      </c>
    </row>
    <row r="80" spans="3:11" x14ac:dyDescent="0.2">
      <c r="C80" s="2">
        <v>1</v>
      </c>
      <c r="D80" s="9">
        <f t="shared" si="10"/>
        <v>41995</v>
      </c>
      <c r="E80" s="9">
        <f t="shared" si="11"/>
        <v>42008</v>
      </c>
      <c r="F80" s="9">
        <f t="shared" si="7"/>
        <v>42013</v>
      </c>
      <c r="G80" s="1">
        <f>IF(E80&lt;=DATE(2012,9,1),2012,IF(E80&lt;=DATE(2013,9,1),2013,IF(E80&lt;=DATE(2014,9,1),2014,IF(E80&lt;=DATE(2015,9,1),2015,2016))))</f>
        <v>2015</v>
      </c>
      <c r="H80" s="2" t="str">
        <f t="shared" si="12"/>
        <v/>
      </c>
      <c r="I80" s="2" t="str">
        <f t="shared" si="8"/>
        <v>January</v>
      </c>
      <c r="J80" s="2" t="str">
        <f t="shared" si="13"/>
        <v>Thu</v>
      </c>
      <c r="K80" s="2" t="str">
        <f t="shared" si="9"/>
        <v>20151</v>
      </c>
    </row>
    <row r="81" spans="3:11" x14ac:dyDescent="0.2">
      <c r="C81" s="2">
        <v>2</v>
      </c>
      <c r="D81" s="9">
        <f t="shared" si="10"/>
        <v>42009</v>
      </c>
      <c r="E81" s="9">
        <f t="shared" si="11"/>
        <v>42022</v>
      </c>
      <c r="F81" s="9">
        <f t="shared" si="7"/>
        <v>42027</v>
      </c>
      <c r="G81" s="1">
        <f>IF(E81&lt;=DATE(2012,9,1),2012,IF(E81&lt;=DATE(2013,9,1),2013,IF(E81&lt;=DATE(2014,9,1),2014,IF(E81&lt;=DATE(2015,9,1),2015,2016))))</f>
        <v>2015</v>
      </c>
      <c r="H81" s="2" t="str">
        <f t="shared" si="12"/>
        <v/>
      </c>
      <c r="I81" s="2" t="str">
        <f t="shared" si="8"/>
        <v>January</v>
      </c>
      <c r="J81" s="2" t="str">
        <f t="shared" si="13"/>
        <v/>
      </c>
      <c r="K81" s="2" t="str">
        <f t="shared" si="9"/>
        <v>20152</v>
      </c>
    </row>
    <row r="82" spans="3:11" x14ac:dyDescent="0.2">
      <c r="C82" s="2">
        <v>3</v>
      </c>
      <c r="D82" s="9">
        <f t="shared" si="10"/>
        <v>42023</v>
      </c>
      <c r="E82" s="9">
        <f t="shared" si="11"/>
        <v>42036</v>
      </c>
      <c r="F82" s="9">
        <f t="shared" si="7"/>
        <v>42041</v>
      </c>
      <c r="G82" s="1">
        <f>IF(E82&lt;=DATE(2012,9,1),2012,IF(E82&lt;=DATE(2013,9,1),2013,IF(E82&lt;=DATE(2014,9,1),2014,IF(E82&lt;=DATE(2015,9,1),2015,2016))))</f>
        <v>2015</v>
      </c>
      <c r="H82" s="2" t="str">
        <f t="shared" si="12"/>
        <v/>
      </c>
      <c r="I82" s="2" t="str">
        <f t="shared" si="8"/>
        <v>February</v>
      </c>
      <c r="J82" s="2" t="str">
        <f t="shared" si="13"/>
        <v>Sun</v>
      </c>
      <c r="K82" s="2" t="str">
        <f t="shared" si="9"/>
        <v>20153</v>
      </c>
    </row>
    <row r="83" spans="3:11" x14ac:dyDescent="0.2">
      <c r="C83" s="2">
        <v>4</v>
      </c>
      <c r="D83" s="9">
        <f t="shared" si="10"/>
        <v>42037</v>
      </c>
      <c r="E83" s="9">
        <f t="shared" si="11"/>
        <v>42050</v>
      </c>
      <c r="F83" s="9">
        <f t="shared" si="7"/>
        <v>42055</v>
      </c>
      <c r="G83" s="1">
        <f>IF(E83&lt;=DATE(2012,9,1),2012,IF(E83&lt;=DATE(2013,9,1),2013,IF(E83&lt;=DATE(2014,9,1),2014,IF(E83&lt;=DATE(2015,9,1),2015,2016))))</f>
        <v>2015</v>
      </c>
      <c r="H83" s="2" t="str">
        <f t="shared" si="12"/>
        <v/>
      </c>
      <c r="I83" s="2" t="str">
        <f t="shared" si="8"/>
        <v>February</v>
      </c>
      <c r="J83" s="2" t="str">
        <f t="shared" si="13"/>
        <v/>
      </c>
      <c r="K83" s="2" t="str">
        <f t="shared" si="9"/>
        <v>20154</v>
      </c>
    </row>
    <row r="84" spans="3:11" x14ac:dyDescent="0.2">
      <c r="C84" s="2">
        <v>5</v>
      </c>
      <c r="D84" s="9">
        <f t="shared" si="10"/>
        <v>42051</v>
      </c>
      <c r="E84" s="9">
        <f t="shared" si="11"/>
        <v>42064</v>
      </c>
      <c r="F84" s="9">
        <f t="shared" si="7"/>
        <v>42069</v>
      </c>
      <c r="G84" s="1">
        <f>IF(E84&lt;=DATE(2012,9,1),2012,IF(E84&lt;=DATE(2013,9,1),2013,IF(E84&lt;=DATE(2014,9,1),2014,IF(E84&lt;=DATE(2015,9,1),2015,2016))))</f>
        <v>2015</v>
      </c>
      <c r="H84" s="2" t="str">
        <f t="shared" si="12"/>
        <v/>
      </c>
      <c r="I84" s="2" t="str">
        <f t="shared" si="8"/>
        <v>March</v>
      </c>
      <c r="J84" s="2" t="str">
        <f t="shared" si="13"/>
        <v>Sun</v>
      </c>
      <c r="K84" s="2" t="str">
        <f t="shared" si="9"/>
        <v>20155</v>
      </c>
    </row>
    <row r="85" spans="3:11" x14ac:dyDescent="0.2">
      <c r="C85" s="2">
        <v>6</v>
      </c>
      <c r="D85" s="9">
        <f t="shared" si="10"/>
        <v>42065</v>
      </c>
      <c r="E85" s="9">
        <f t="shared" si="11"/>
        <v>42078</v>
      </c>
      <c r="F85" s="9">
        <f t="shared" si="7"/>
        <v>42083</v>
      </c>
      <c r="G85" s="1">
        <f>IF(E85&lt;=DATE(2012,9,1),2012,IF(E85&lt;=DATE(2013,9,1),2013,IF(E85&lt;=DATE(2014,9,1),2014,IF(E85&lt;=DATE(2015,9,1),2015,2016))))</f>
        <v>2015</v>
      </c>
      <c r="H85" s="2" t="str">
        <f t="shared" si="12"/>
        <v/>
      </c>
      <c r="I85" s="2" t="str">
        <f t="shared" si="8"/>
        <v>March</v>
      </c>
      <c r="J85" s="2" t="str">
        <f t="shared" si="13"/>
        <v/>
      </c>
      <c r="K85" s="2" t="str">
        <f t="shared" si="9"/>
        <v>20156</v>
      </c>
    </row>
    <row r="86" spans="3:11" x14ac:dyDescent="0.2">
      <c r="C86" s="2">
        <v>7</v>
      </c>
      <c r="D86" s="9">
        <f t="shared" si="10"/>
        <v>42079</v>
      </c>
      <c r="E86" s="9">
        <f t="shared" si="11"/>
        <v>42092</v>
      </c>
      <c r="F86" s="9">
        <f t="shared" si="7"/>
        <v>42097</v>
      </c>
      <c r="G86" s="1">
        <f>IF(E86&lt;=DATE(2012,9,1),2012,IF(E86&lt;=DATE(2013,9,1),2013,IF(E86&lt;=DATE(2014,9,1),2014,IF(E86&lt;=DATE(2015,9,1),2015,2016))))</f>
        <v>2015</v>
      </c>
      <c r="H86" s="2" t="str">
        <f t="shared" si="12"/>
        <v/>
      </c>
      <c r="I86" s="2" t="str">
        <f t="shared" si="8"/>
        <v>April</v>
      </c>
      <c r="J86" s="2" t="str">
        <f t="shared" si="13"/>
        <v/>
      </c>
      <c r="K86" s="2" t="str">
        <f t="shared" si="9"/>
        <v>20157</v>
      </c>
    </row>
    <row r="87" spans="3:11" x14ac:dyDescent="0.2">
      <c r="C87" s="2">
        <v>8</v>
      </c>
      <c r="D87" s="9">
        <f t="shared" si="10"/>
        <v>42093</v>
      </c>
      <c r="E87" s="9">
        <f t="shared" si="11"/>
        <v>42106</v>
      </c>
      <c r="F87" s="9">
        <f t="shared" si="7"/>
        <v>42111</v>
      </c>
      <c r="G87" s="1">
        <f>IF(E87&lt;=DATE(2012,9,1),2012,IF(E87&lt;=DATE(2013,9,1),2013,IF(E87&lt;=DATE(2014,9,1),2014,IF(E87&lt;=DATE(2015,9,1),2015,2016))))</f>
        <v>2015</v>
      </c>
      <c r="H87" s="2" t="str">
        <f t="shared" si="12"/>
        <v/>
      </c>
      <c r="I87" s="2" t="str">
        <f t="shared" si="8"/>
        <v>April</v>
      </c>
      <c r="J87" s="2" t="str">
        <f t="shared" si="13"/>
        <v>Wed</v>
      </c>
      <c r="K87" s="2" t="str">
        <f t="shared" si="9"/>
        <v>20158</v>
      </c>
    </row>
    <row r="88" spans="3:11" x14ac:dyDescent="0.2">
      <c r="C88" s="2">
        <v>9</v>
      </c>
      <c r="D88" s="9">
        <f t="shared" si="10"/>
        <v>42107</v>
      </c>
      <c r="E88" s="9">
        <f t="shared" si="11"/>
        <v>42120</v>
      </c>
      <c r="F88" s="9">
        <f t="shared" si="7"/>
        <v>42125</v>
      </c>
      <c r="G88" s="1">
        <f>IF(E88&lt;=DATE(2012,9,1),2012,IF(E88&lt;=DATE(2013,9,1),2013,IF(E88&lt;=DATE(2014,9,1),2014,IF(E88&lt;=DATE(2015,9,1),2015,2016))))</f>
        <v>2015</v>
      </c>
      <c r="H88" s="2" t="str">
        <f t="shared" si="12"/>
        <v/>
      </c>
      <c r="I88" s="2" t="str">
        <f t="shared" si="8"/>
        <v>May</v>
      </c>
      <c r="J88" s="2" t="str">
        <f t="shared" si="13"/>
        <v/>
      </c>
      <c r="K88" s="2" t="str">
        <f t="shared" si="9"/>
        <v>20159</v>
      </c>
    </row>
    <row r="89" spans="3:11" x14ac:dyDescent="0.2">
      <c r="C89" s="2">
        <v>10</v>
      </c>
      <c r="D89" s="9">
        <f t="shared" si="10"/>
        <v>42121</v>
      </c>
      <c r="E89" s="9">
        <f t="shared" si="11"/>
        <v>42134</v>
      </c>
      <c r="F89" s="9">
        <f t="shared" si="7"/>
        <v>42139</v>
      </c>
      <c r="G89" s="1">
        <f>IF(E89&lt;=DATE(2012,9,1),2012,IF(E89&lt;=DATE(2013,9,1),2013,IF(E89&lt;=DATE(2014,9,1),2014,IF(E89&lt;=DATE(2015,9,1),2015,2016))))</f>
        <v>2015</v>
      </c>
      <c r="H89" s="2" t="str">
        <f t="shared" si="12"/>
        <v/>
      </c>
      <c r="I89" s="2" t="str">
        <f t="shared" si="8"/>
        <v>May</v>
      </c>
      <c r="J89" s="2" t="str">
        <f t="shared" si="13"/>
        <v>Fri</v>
      </c>
      <c r="K89" s="2" t="str">
        <f t="shared" si="9"/>
        <v>201510</v>
      </c>
    </row>
    <row r="90" spans="3:11" x14ac:dyDescent="0.2">
      <c r="C90" s="2">
        <v>11</v>
      </c>
      <c r="D90" s="9">
        <f t="shared" si="10"/>
        <v>42135</v>
      </c>
      <c r="E90" s="9">
        <f t="shared" si="11"/>
        <v>42148</v>
      </c>
      <c r="F90" s="9">
        <f t="shared" si="7"/>
        <v>42153</v>
      </c>
      <c r="G90" s="1">
        <f>IF(E90&lt;=DATE(2012,9,1),2012,IF(E90&lt;=DATE(2013,9,1),2013,IF(E90&lt;=DATE(2014,9,1),2014,IF(E90&lt;=DATE(2015,9,1),2015,2016))))</f>
        <v>2015</v>
      </c>
      <c r="H90" s="2" t="str">
        <f t="shared" si="12"/>
        <v/>
      </c>
      <c r="I90" s="2" t="str">
        <f t="shared" si="8"/>
        <v>May</v>
      </c>
      <c r="J90" s="2" t="str">
        <f t="shared" si="13"/>
        <v/>
      </c>
      <c r="K90" s="2" t="str">
        <f t="shared" si="9"/>
        <v>201511</v>
      </c>
    </row>
    <row r="91" spans="3:11" x14ac:dyDescent="0.2">
      <c r="C91" s="2">
        <v>12</v>
      </c>
      <c r="D91" s="9">
        <f t="shared" si="10"/>
        <v>42149</v>
      </c>
      <c r="E91" s="9">
        <f t="shared" si="11"/>
        <v>42162</v>
      </c>
      <c r="F91" s="9">
        <f t="shared" si="7"/>
        <v>42167</v>
      </c>
      <c r="G91" s="1">
        <f>IF(E91&lt;=DATE(2012,9,1),2012,IF(E91&lt;=DATE(2013,9,1),2013,IF(E91&lt;=DATE(2014,9,1),2014,IF(E91&lt;=DATE(2015,9,1),2015,2016))))</f>
        <v>2015</v>
      </c>
      <c r="H91" s="2" t="str">
        <f t="shared" si="12"/>
        <v/>
      </c>
      <c r="I91" s="2" t="str">
        <f t="shared" si="8"/>
        <v>June</v>
      </c>
      <c r="J91" s="2" t="str">
        <f t="shared" si="13"/>
        <v>Mon</v>
      </c>
      <c r="K91" s="2" t="str">
        <f t="shared" si="9"/>
        <v>201512</v>
      </c>
    </row>
    <row r="92" spans="3:11" x14ac:dyDescent="0.2">
      <c r="C92" s="2">
        <v>13</v>
      </c>
      <c r="D92" s="9">
        <f t="shared" si="10"/>
        <v>42163</v>
      </c>
      <c r="E92" s="9">
        <f t="shared" si="11"/>
        <v>42176</v>
      </c>
      <c r="F92" s="9">
        <f t="shared" si="7"/>
        <v>42181</v>
      </c>
      <c r="G92" s="1">
        <f>IF(E92&lt;=DATE(2012,9,1),2012,IF(E92&lt;=DATE(2013,9,1),2013,IF(E92&lt;=DATE(2014,9,1),2014,IF(E92&lt;=DATE(2015,9,1),2015,2016))))</f>
        <v>2015</v>
      </c>
      <c r="H92" s="2" t="str">
        <f t="shared" si="12"/>
        <v/>
      </c>
      <c r="I92" s="2" t="str">
        <f t="shared" si="8"/>
        <v>June</v>
      </c>
      <c r="J92" s="2" t="str">
        <f t="shared" si="13"/>
        <v/>
      </c>
      <c r="K92" s="2" t="str">
        <f t="shared" si="9"/>
        <v>201513</v>
      </c>
    </row>
    <row r="93" spans="3:11" x14ac:dyDescent="0.2">
      <c r="C93" s="2">
        <v>14</v>
      </c>
      <c r="D93" s="9">
        <f t="shared" si="10"/>
        <v>42177</v>
      </c>
      <c r="E93" s="9">
        <f t="shared" si="11"/>
        <v>42190</v>
      </c>
      <c r="F93" s="9">
        <f t="shared" si="7"/>
        <v>42195</v>
      </c>
      <c r="G93" s="1">
        <f>IF(E93&lt;=DATE(2012,9,1),2012,IF(E93&lt;=DATE(2013,9,1),2013,IF(E93&lt;=DATE(2014,9,1),2014,IF(E93&lt;=DATE(2015,9,1),2015,2016))))</f>
        <v>2015</v>
      </c>
      <c r="H93" s="2" t="str">
        <f t="shared" si="12"/>
        <v/>
      </c>
      <c r="I93" s="2" t="str">
        <f t="shared" si="8"/>
        <v>July</v>
      </c>
      <c r="J93" s="2" t="str">
        <f t="shared" si="13"/>
        <v>Wed</v>
      </c>
      <c r="K93" s="2" t="str">
        <f t="shared" si="9"/>
        <v>201514</v>
      </c>
    </row>
    <row r="94" spans="3:11" x14ac:dyDescent="0.2">
      <c r="C94" s="2">
        <v>15</v>
      </c>
      <c r="D94" s="9">
        <f t="shared" si="10"/>
        <v>42191</v>
      </c>
      <c r="E94" s="9">
        <f t="shared" si="11"/>
        <v>42204</v>
      </c>
      <c r="F94" s="9">
        <f t="shared" si="7"/>
        <v>42209</v>
      </c>
      <c r="G94" s="1">
        <f>IF(E94&lt;=DATE(2012,9,1),2012,IF(E94&lt;=DATE(2013,9,1),2013,IF(E94&lt;=DATE(2014,9,1),2014,IF(E94&lt;=DATE(2015,9,1),2015,2016))))</f>
        <v>2015</v>
      </c>
      <c r="H94" s="2" t="str">
        <f t="shared" si="12"/>
        <v/>
      </c>
      <c r="I94" s="2" t="str">
        <f t="shared" si="8"/>
        <v>July</v>
      </c>
      <c r="J94" s="2" t="str">
        <f t="shared" si="13"/>
        <v/>
      </c>
      <c r="K94" s="2" t="str">
        <f t="shared" si="9"/>
        <v>201515</v>
      </c>
    </row>
    <row r="95" spans="3:11" x14ac:dyDescent="0.2">
      <c r="C95" s="2">
        <v>16</v>
      </c>
      <c r="D95" s="9">
        <f t="shared" si="10"/>
        <v>42205</v>
      </c>
      <c r="E95" s="9">
        <f t="shared" si="11"/>
        <v>42218</v>
      </c>
      <c r="F95" s="9">
        <f t="shared" si="7"/>
        <v>42223</v>
      </c>
      <c r="G95" s="1">
        <f>IF(E95&lt;=DATE(2012,9,1),2012,IF(E95&lt;=DATE(2013,9,1),2013,IF(E95&lt;=DATE(2014,9,1),2014,IF(E95&lt;=DATE(2015,9,1),2015,2016))))</f>
        <v>2015</v>
      </c>
      <c r="H95" s="2" t="str">
        <f t="shared" si="12"/>
        <v/>
      </c>
      <c r="I95" s="2" t="str">
        <f t="shared" si="8"/>
        <v>August</v>
      </c>
      <c r="J95" s="2" t="str">
        <f t="shared" si="13"/>
        <v>Sat</v>
      </c>
      <c r="K95" s="2" t="str">
        <f t="shared" si="9"/>
        <v>201516</v>
      </c>
    </row>
    <row r="96" spans="3:11" x14ac:dyDescent="0.2">
      <c r="C96" s="2">
        <v>17</v>
      </c>
      <c r="D96" s="9">
        <f t="shared" si="10"/>
        <v>42219</v>
      </c>
      <c r="E96" s="9">
        <f t="shared" si="11"/>
        <v>42232</v>
      </c>
      <c r="F96" s="9">
        <f t="shared" si="7"/>
        <v>42237</v>
      </c>
      <c r="G96" s="1">
        <f>IF(E96&lt;=DATE(2012,9,1),2012,IF(E96&lt;=DATE(2013,9,1),2013,IF(E96&lt;=DATE(2014,9,1),2014,IF(E96&lt;=DATE(2015,9,1),2015,2016))))</f>
        <v>2015</v>
      </c>
      <c r="H96" s="2" t="str">
        <f t="shared" si="12"/>
        <v/>
      </c>
      <c r="I96" s="2" t="str">
        <f t="shared" si="8"/>
        <v>August</v>
      </c>
      <c r="J96" s="2" t="str">
        <f t="shared" si="13"/>
        <v/>
      </c>
      <c r="K96" s="2" t="str">
        <f t="shared" si="9"/>
        <v>201517</v>
      </c>
    </row>
    <row r="97" spans="3:11" x14ac:dyDescent="0.2">
      <c r="C97" s="2">
        <v>18</v>
      </c>
      <c r="D97" s="9">
        <f t="shared" si="10"/>
        <v>42233</v>
      </c>
      <c r="E97" s="9">
        <f t="shared" si="11"/>
        <v>42246</v>
      </c>
      <c r="F97" s="9">
        <f t="shared" si="7"/>
        <v>42251</v>
      </c>
      <c r="G97" s="1">
        <f>IF(E97&lt;=DATE(2012,9,1),2012,IF(E97&lt;=DATE(2013,9,1),2013,IF(E97&lt;=DATE(2014,9,1),2014,IF(E97&lt;=DATE(2015,9,1),2015,2016))))</f>
        <v>2015</v>
      </c>
      <c r="H97" s="2" t="str">
        <f t="shared" si="12"/>
        <v/>
      </c>
      <c r="I97" s="2" t="str">
        <f t="shared" si="8"/>
        <v>September</v>
      </c>
      <c r="J97" s="2" t="str">
        <f t="shared" si="13"/>
        <v/>
      </c>
      <c r="K97" s="2" t="str">
        <f t="shared" si="9"/>
        <v>201518</v>
      </c>
    </row>
    <row r="98" spans="3:11" x14ac:dyDescent="0.2">
      <c r="C98" s="2">
        <v>19</v>
      </c>
      <c r="D98" s="9">
        <f t="shared" si="10"/>
        <v>42247</v>
      </c>
      <c r="E98" s="9">
        <f t="shared" si="11"/>
        <v>42260</v>
      </c>
      <c r="F98" s="9">
        <f t="shared" si="7"/>
        <v>42265</v>
      </c>
      <c r="G98" s="1">
        <f>IF(E98&lt;=DATE(2012,9,1),2012,IF(E98&lt;=DATE(2013,9,1),2013,IF(E98&lt;=DATE(2014,9,1),2014,IF(E98&lt;=DATE(2015,9,1),2015,2016))))</f>
        <v>2016</v>
      </c>
      <c r="H98" s="2">
        <f t="shared" si="12"/>
        <v>1</v>
      </c>
      <c r="I98" s="2" t="str">
        <f t="shared" si="8"/>
        <v>September</v>
      </c>
      <c r="J98" s="2" t="str">
        <f t="shared" si="13"/>
        <v>Thu</v>
      </c>
      <c r="K98" s="2" t="str">
        <f t="shared" si="9"/>
        <v>201619</v>
      </c>
    </row>
    <row r="99" spans="3:11" x14ac:dyDescent="0.2">
      <c r="C99" s="2">
        <v>20</v>
      </c>
      <c r="D99" s="9">
        <f t="shared" si="10"/>
        <v>42261</v>
      </c>
      <c r="E99" s="9">
        <f t="shared" si="11"/>
        <v>42274</v>
      </c>
      <c r="F99" s="9">
        <f t="shared" si="7"/>
        <v>42279</v>
      </c>
      <c r="G99" s="1">
        <f>IF(E99&lt;=DATE(2012,9,1),2012,IF(E99&lt;=DATE(2013,9,1),2013,IF(E99&lt;=DATE(2014,9,1),2014,IF(E99&lt;=DATE(2015,9,1),2015,2016))))</f>
        <v>2016</v>
      </c>
      <c r="H99" s="2" t="str">
        <f t="shared" si="12"/>
        <v/>
      </c>
      <c r="I99" s="2" t="str">
        <f t="shared" si="8"/>
        <v>October</v>
      </c>
      <c r="J99" s="2" t="str">
        <f t="shared" si="13"/>
        <v/>
      </c>
      <c r="K99" s="2" t="str">
        <f t="shared" si="9"/>
        <v>201620</v>
      </c>
    </row>
    <row r="100" spans="3:11" x14ac:dyDescent="0.2">
      <c r="C100" s="2">
        <v>21</v>
      </c>
      <c r="D100" s="9">
        <f t="shared" si="10"/>
        <v>42275</v>
      </c>
      <c r="E100" s="9">
        <f t="shared" si="11"/>
        <v>42288</v>
      </c>
      <c r="F100" s="9">
        <f t="shared" si="7"/>
        <v>42293</v>
      </c>
      <c r="G100" s="1">
        <f>IF(E100&lt;=DATE(2012,9,1),2012,IF(E100&lt;=DATE(2013,9,1),2013,IF(E100&lt;=DATE(2014,9,1),2014,IF(E100&lt;=DATE(2015,9,1),2015,2016))))</f>
        <v>2016</v>
      </c>
      <c r="H100" s="2" t="str">
        <f t="shared" si="12"/>
        <v/>
      </c>
      <c r="I100" s="2" t="str">
        <f t="shared" si="8"/>
        <v>October</v>
      </c>
      <c r="J100" s="2" t="str">
        <f t="shared" si="13"/>
        <v>Sat</v>
      </c>
      <c r="K100" s="2" t="str">
        <f t="shared" si="9"/>
        <v>201621</v>
      </c>
    </row>
    <row r="101" spans="3:11" x14ac:dyDescent="0.2">
      <c r="C101" s="2">
        <v>22</v>
      </c>
      <c r="D101" s="9">
        <f t="shared" si="10"/>
        <v>42289</v>
      </c>
      <c r="E101" s="9">
        <f t="shared" si="11"/>
        <v>42302</v>
      </c>
      <c r="F101" s="9">
        <f t="shared" si="7"/>
        <v>42307</v>
      </c>
      <c r="G101" s="1">
        <f>IF(E101&lt;=DATE(2012,9,1),2012,IF(E101&lt;=DATE(2013,9,1),2013,IF(E101&lt;=DATE(2014,9,1),2014,IF(E101&lt;=DATE(2015,9,1),2015,2016))))</f>
        <v>2016</v>
      </c>
      <c r="H101" s="2" t="str">
        <f t="shared" si="12"/>
        <v/>
      </c>
      <c r="I101" s="2" t="str">
        <f t="shared" si="8"/>
        <v>October</v>
      </c>
      <c r="J101" s="2" t="str">
        <f t="shared" si="13"/>
        <v/>
      </c>
      <c r="K101" s="2" t="str">
        <f t="shared" si="9"/>
        <v>201622</v>
      </c>
    </row>
    <row r="102" spans="3:11" x14ac:dyDescent="0.2">
      <c r="C102" s="2">
        <v>23</v>
      </c>
      <c r="D102" s="9">
        <f t="shared" si="10"/>
        <v>42303</v>
      </c>
      <c r="E102" s="9">
        <f t="shared" si="11"/>
        <v>42316</v>
      </c>
      <c r="F102" s="9">
        <f t="shared" si="7"/>
        <v>42321</v>
      </c>
      <c r="G102" s="1">
        <f>IF(E102&lt;=DATE(2012,9,1),2012,IF(E102&lt;=DATE(2013,9,1),2013,IF(E102&lt;=DATE(2014,9,1),2014,IF(E102&lt;=DATE(2015,9,1),2015,2016))))</f>
        <v>2016</v>
      </c>
      <c r="H102" s="2" t="str">
        <f t="shared" si="12"/>
        <v/>
      </c>
      <c r="I102" s="2" t="str">
        <f t="shared" si="8"/>
        <v>November</v>
      </c>
      <c r="J102" s="2" t="str">
        <f t="shared" si="13"/>
        <v>Tue</v>
      </c>
      <c r="K102" s="2" t="str">
        <f t="shared" si="9"/>
        <v>201623</v>
      </c>
    </row>
    <row r="103" spans="3:11" x14ac:dyDescent="0.2">
      <c r="C103" s="2">
        <v>24</v>
      </c>
      <c r="D103" s="9">
        <f t="shared" si="10"/>
        <v>42317</v>
      </c>
      <c r="E103" s="9">
        <f t="shared" si="11"/>
        <v>42330</v>
      </c>
      <c r="F103" s="9">
        <f t="shared" si="7"/>
        <v>42335</v>
      </c>
      <c r="G103" s="1">
        <f>IF(E103&lt;=DATE(2012,9,1),2012,IF(E103&lt;=DATE(2013,9,1),2013,IF(E103&lt;=DATE(2014,9,1),2014,IF(E103&lt;=DATE(2015,9,1),2015,2016))))</f>
        <v>2016</v>
      </c>
      <c r="H103" s="2" t="str">
        <f t="shared" si="12"/>
        <v/>
      </c>
      <c r="I103" s="2" t="str">
        <f t="shared" si="8"/>
        <v>November</v>
      </c>
      <c r="J103" s="2" t="str">
        <f t="shared" si="13"/>
        <v/>
      </c>
      <c r="K103" s="2" t="str">
        <f t="shared" si="9"/>
        <v>201624</v>
      </c>
    </row>
    <row r="104" spans="3:11" x14ac:dyDescent="0.2">
      <c r="C104" s="2">
        <v>25</v>
      </c>
      <c r="D104" s="9">
        <f t="shared" si="10"/>
        <v>42331</v>
      </c>
      <c r="E104" s="9">
        <f t="shared" si="11"/>
        <v>42344</v>
      </c>
      <c r="F104" s="9">
        <f t="shared" si="7"/>
        <v>42349</v>
      </c>
      <c r="G104" s="1">
        <f>IF(E104&lt;=DATE(2012,9,1),2012,IF(E104&lt;=DATE(2013,9,1),2013,IF(E104&lt;=DATE(2014,9,1),2014,IF(E104&lt;=DATE(2015,9,1),2015,2016))))</f>
        <v>2016</v>
      </c>
      <c r="H104" s="2" t="str">
        <f t="shared" si="12"/>
        <v/>
      </c>
      <c r="I104" s="2" t="str">
        <f t="shared" si="8"/>
        <v>December</v>
      </c>
      <c r="J104" s="2" t="str">
        <f t="shared" si="13"/>
        <v>Thu</v>
      </c>
      <c r="K104" s="2" t="str">
        <f t="shared" si="9"/>
        <v>201625</v>
      </c>
    </row>
    <row r="105" spans="3:11" x14ac:dyDescent="0.2">
      <c r="C105" s="2">
        <v>26</v>
      </c>
      <c r="D105" s="9">
        <f t="shared" si="10"/>
        <v>42345</v>
      </c>
      <c r="E105" s="9">
        <f t="shared" si="11"/>
        <v>42358</v>
      </c>
      <c r="F105" s="9">
        <f t="shared" si="7"/>
        <v>42363</v>
      </c>
      <c r="G105" s="1">
        <f>IF(E105&lt;=DATE(2012,9,1),2012,IF(E105&lt;=DATE(2013,9,1),2013,IF(E105&lt;=DATE(2014,9,1),2014,IF(E105&lt;=DATE(2015,9,1),2015,2016))))</f>
        <v>2016</v>
      </c>
      <c r="H105" s="2" t="str">
        <f t="shared" si="12"/>
        <v/>
      </c>
      <c r="I105" s="2" t="str">
        <f t="shared" si="8"/>
        <v>December</v>
      </c>
      <c r="J105" s="2" t="str">
        <f t="shared" si="13"/>
        <v/>
      </c>
      <c r="K105" s="2" t="str">
        <f t="shared" si="9"/>
        <v>201626</v>
      </c>
    </row>
    <row r="106" spans="3:11" x14ac:dyDescent="0.2">
      <c r="C106" s="2">
        <v>1</v>
      </c>
      <c r="D106" s="9">
        <f t="shared" si="10"/>
        <v>42359</v>
      </c>
      <c r="E106" s="9">
        <f t="shared" si="11"/>
        <v>42372</v>
      </c>
      <c r="F106" s="9">
        <f t="shared" si="7"/>
        <v>42377</v>
      </c>
      <c r="G106" s="1">
        <f>IF(E106&lt;=DATE(2012,9,1),2012,IF(E106&lt;=DATE(2013,9,1),2013,IF(E106&lt;=DATE(2014,9,1),2014,IF(E106&lt;=DATE(2015,9,1),2015,2016))))</f>
        <v>2016</v>
      </c>
      <c r="H106" s="2" t="str">
        <f t="shared" si="12"/>
        <v/>
      </c>
      <c r="I106" s="2" t="str">
        <f t="shared" si="8"/>
        <v>January</v>
      </c>
      <c r="J106" s="2" t="str">
        <f t="shared" si="13"/>
        <v>Fri</v>
      </c>
      <c r="K106" s="2" t="str">
        <f t="shared" si="9"/>
        <v>20161</v>
      </c>
    </row>
    <row r="107" spans="3:11" x14ac:dyDescent="0.2">
      <c r="C107" s="2">
        <v>2</v>
      </c>
      <c r="D107" s="9">
        <f t="shared" si="10"/>
        <v>42373</v>
      </c>
      <c r="E107" s="9">
        <f t="shared" si="11"/>
        <v>42386</v>
      </c>
      <c r="F107" s="9">
        <f t="shared" si="7"/>
        <v>42391</v>
      </c>
      <c r="G107" s="1">
        <f>IF(E107&lt;=DATE(2012,9,1),2012,IF(E107&lt;=DATE(2013,9,1),2013,IF(E107&lt;=DATE(2014,9,1),2014,IF(E107&lt;=DATE(2015,9,1),2015,2016))))</f>
        <v>2016</v>
      </c>
      <c r="H107" s="2" t="str">
        <f t="shared" si="12"/>
        <v/>
      </c>
      <c r="I107" s="2" t="str">
        <f t="shared" si="8"/>
        <v>January</v>
      </c>
      <c r="J107" s="2" t="str">
        <f t="shared" si="13"/>
        <v/>
      </c>
      <c r="K107" s="2" t="str">
        <f t="shared" si="9"/>
        <v>20162</v>
      </c>
    </row>
    <row r="108" spans="3:11" x14ac:dyDescent="0.2">
      <c r="C108" s="2">
        <v>3</v>
      </c>
      <c r="D108" s="9">
        <f t="shared" si="10"/>
        <v>42387</v>
      </c>
      <c r="E108" s="9">
        <f t="shared" si="11"/>
        <v>42400</v>
      </c>
      <c r="F108" s="9">
        <f t="shared" si="7"/>
        <v>42405</v>
      </c>
      <c r="G108" s="1">
        <f>IF(E108&lt;=DATE(2012,9,1),2012,IF(E108&lt;=DATE(2013,9,1),2013,IF(E108&lt;=DATE(2014,9,1),2014,IF(E108&lt;=DATE(2015,9,1),2015,2016))))</f>
        <v>2016</v>
      </c>
      <c r="H108" s="2" t="str">
        <f t="shared" si="12"/>
        <v/>
      </c>
      <c r="I108" s="2" t="str">
        <f t="shared" si="8"/>
        <v>February</v>
      </c>
      <c r="J108" s="2" t="str">
        <f t="shared" si="13"/>
        <v/>
      </c>
      <c r="K108" s="2" t="str">
        <f t="shared" si="9"/>
        <v>20163</v>
      </c>
    </row>
    <row r="109" spans="3:11" x14ac:dyDescent="0.2">
      <c r="C109" s="2">
        <v>4</v>
      </c>
      <c r="D109" s="9">
        <f t="shared" si="10"/>
        <v>42401</v>
      </c>
      <c r="E109" s="9">
        <f t="shared" si="11"/>
        <v>42414</v>
      </c>
      <c r="F109" s="9">
        <f t="shared" si="7"/>
        <v>42419</v>
      </c>
      <c r="G109" s="1">
        <f>IF(E109&lt;=DATE(2012,9,1),2012,IF(E109&lt;=DATE(2013,9,1),2013,IF(E109&lt;=DATE(2014,9,1),2014,IF(E109&lt;=DATE(2015,9,1),2015,2016))))</f>
        <v>2016</v>
      </c>
      <c r="H109" s="2" t="str">
        <f t="shared" si="12"/>
        <v/>
      </c>
      <c r="I109" s="2" t="str">
        <f t="shared" si="8"/>
        <v>February</v>
      </c>
      <c r="J109" s="2" t="str">
        <f t="shared" si="13"/>
        <v>Mon</v>
      </c>
      <c r="K109" s="2" t="str">
        <f t="shared" si="9"/>
        <v>20164</v>
      </c>
    </row>
    <row r="110" spans="3:11" x14ac:dyDescent="0.2">
      <c r="C110" s="2">
        <v>5</v>
      </c>
      <c r="D110" s="9">
        <f t="shared" si="10"/>
        <v>42415</v>
      </c>
      <c r="E110" s="9">
        <f t="shared" si="11"/>
        <v>42428</v>
      </c>
      <c r="F110" s="9">
        <f t="shared" si="7"/>
        <v>42433</v>
      </c>
      <c r="G110" s="1">
        <f>IF(E110&lt;=DATE(2012,9,1),2012,IF(E110&lt;=DATE(2013,9,1),2013,IF(E110&lt;=DATE(2014,9,1),2014,IF(E110&lt;=DATE(2015,9,1),2015,2016))))</f>
        <v>2016</v>
      </c>
      <c r="H110" s="2" t="str">
        <f t="shared" si="12"/>
        <v/>
      </c>
      <c r="I110" s="2" t="str">
        <f t="shared" si="8"/>
        <v>March</v>
      </c>
      <c r="J110" s="2" t="str">
        <f t="shared" si="13"/>
        <v/>
      </c>
      <c r="K110" s="2" t="str">
        <f t="shared" si="9"/>
        <v>20165</v>
      </c>
    </row>
    <row r="111" spans="3:11" x14ac:dyDescent="0.2">
      <c r="C111" s="2">
        <v>6</v>
      </c>
      <c r="D111" s="9">
        <f t="shared" si="10"/>
        <v>42429</v>
      </c>
      <c r="E111" s="9">
        <f t="shared" si="11"/>
        <v>42442</v>
      </c>
      <c r="F111" s="9">
        <f t="shared" si="7"/>
        <v>42447</v>
      </c>
      <c r="G111" s="1">
        <f>IF(E111&lt;=DATE(2012,9,1),2012,IF(E111&lt;=DATE(2013,9,1),2013,IF(E111&lt;=DATE(2014,9,1),2014,IF(E111&lt;=DATE(2015,9,1),2015,2016))))</f>
        <v>2016</v>
      </c>
      <c r="H111" s="2" t="str">
        <f t="shared" si="12"/>
        <v/>
      </c>
      <c r="I111" s="2" t="str">
        <f t="shared" si="8"/>
        <v>March</v>
      </c>
      <c r="J111" s="2" t="str">
        <f t="shared" si="13"/>
        <v>Tue</v>
      </c>
      <c r="K111" s="2" t="str">
        <f t="shared" si="9"/>
        <v>20166</v>
      </c>
    </row>
    <row r="112" spans="3:11" x14ac:dyDescent="0.2">
      <c r="C112" s="2">
        <v>7</v>
      </c>
      <c r="D112" s="9">
        <f t="shared" si="10"/>
        <v>42443</v>
      </c>
      <c r="E112" s="9">
        <f t="shared" si="11"/>
        <v>42456</v>
      </c>
      <c r="F112" s="9">
        <f t="shared" si="7"/>
        <v>42461</v>
      </c>
      <c r="G112" s="1">
        <f>IF(E112&lt;=DATE(2012,9,1),2012,IF(E112&lt;=DATE(2013,9,1),2013,IF(E112&lt;=DATE(2014,9,1),2014,IF(E112&lt;=DATE(2015,9,1),2015,2016))))</f>
        <v>2016</v>
      </c>
      <c r="H112" s="2" t="str">
        <f t="shared" si="12"/>
        <v/>
      </c>
      <c r="I112" s="2" t="str">
        <f t="shared" si="8"/>
        <v>April</v>
      </c>
      <c r="J112" s="2" t="str">
        <f t="shared" si="13"/>
        <v/>
      </c>
      <c r="K112" s="2" t="str">
        <f t="shared" si="9"/>
        <v>20167</v>
      </c>
    </row>
    <row r="113" spans="3:11" x14ac:dyDescent="0.2">
      <c r="C113" s="2">
        <v>8</v>
      </c>
      <c r="D113" s="9">
        <f t="shared" si="10"/>
        <v>42457</v>
      </c>
      <c r="E113" s="9">
        <f t="shared" si="11"/>
        <v>42470</v>
      </c>
      <c r="F113" s="9">
        <f t="shared" si="7"/>
        <v>42475</v>
      </c>
      <c r="G113" s="1">
        <f>IF(E113&lt;=DATE(2012,9,1),2012,IF(E113&lt;=DATE(2013,9,1),2013,IF(E113&lt;=DATE(2014,9,1),2014,IF(E113&lt;=DATE(2015,9,1),2015,2016))))</f>
        <v>2016</v>
      </c>
      <c r="H113" s="2" t="str">
        <f t="shared" si="12"/>
        <v/>
      </c>
      <c r="I113" s="2" t="str">
        <f t="shared" si="8"/>
        <v>April</v>
      </c>
      <c r="J113" s="2" t="str">
        <f t="shared" si="13"/>
        <v>Fri</v>
      </c>
      <c r="K113" s="2" t="str">
        <f t="shared" si="9"/>
        <v>20168</v>
      </c>
    </row>
    <row r="114" spans="3:11" x14ac:dyDescent="0.2">
      <c r="C114" s="2">
        <v>9</v>
      </c>
      <c r="D114" s="9">
        <f t="shared" si="10"/>
        <v>42471</v>
      </c>
      <c r="E114" s="9">
        <f t="shared" si="11"/>
        <v>42484</v>
      </c>
      <c r="F114" s="9">
        <f t="shared" si="7"/>
        <v>42489</v>
      </c>
      <c r="G114" s="1">
        <f>IF(E114&lt;=DATE(2012,9,1),2012,IF(E114&lt;=DATE(2013,9,1),2013,IF(E114&lt;=DATE(2014,9,1),2014,IF(E114&lt;=DATE(2015,9,1),2015,2016))))</f>
        <v>2016</v>
      </c>
      <c r="H114" s="2" t="str">
        <f t="shared" si="12"/>
        <v/>
      </c>
      <c r="I114" s="2" t="str">
        <f t="shared" si="8"/>
        <v>April</v>
      </c>
      <c r="J114" s="2" t="str">
        <f t="shared" si="13"/>
        <v/>
      </c>
      <c r="K114" s="2" t="str">
        <f t="shared" si="9"/>
        <v>20169</v>
      </c>
    </row>
    <row r="115" spans="3:11" x14ac:dyDescent="0.2">
      <c r="C115" s="2">
        <v>10</v>
      </c>
      <c r="D115" s="9">
        <f t="shared" si="10"/>
        <v>42485</v>
      </c>
      <c r="E115" s="9">
        <f t="shared" si="11"/>
        <v>42498</v>
      </c>
      <c r="F115" s="9">
        <f t="shared" si="7"/>
        <v>42503</v>
      </c>
      <c r="G115" s="1">
        <f>IF(E115&lt;=DATE(2012,9,1),2012,IF(E115&lt;=DATE(2013,9,1),2013,IF(E115&lt;=DATE(2014,9,1),2014,IF(E115&lt;=DATE(2015,9,1),2015,2016))))</f>
        <v>2016</v>
      </c>
      <c r="H115" s="2" t="str">
        <f t="shared" si="12"/>
        <v/>
      </c>
      <c r="I115" s="2" t="str">
        <f t="shared" si="8"/>
        <v>May</v>
      </c>
      <c r="J115" s="2" t="str">
        <f t="shared" si="13"/>
        <v>Sun</v>
      </c>
      <c r="K115" s="2" t="str">
        <f t="shared" si="9"/>
        <v>201610</v>
      </c>
    </row>
    <row r="116" spans="3:11" x14ac:dyDescent="0.2">
      <c r="C116" s="2">
        <v>11</v>
      </c>
      <c r="D116" s="9">
        <f t="shared" si="10"/>
        <v>42499</v>
      </c>
      <c r="E116" s="9">
        <f t="shared" si="11"/>
        <v>42512</v>
      </c>
      <c r="F116" s="9">
        <f t="shared" si="7"/>
        <v>42517</v>
      </c>
      <c r="G116" s="1">
        <f>IF(E116&lt;=DATE(2012,9,1),2012,IF(E116&lt;=DATE(2013,9,1),2013,IF(E116&lt;=DATE(2014,9,1),2014,IF(E116&lt;=DATE(2015,9,1),2015,2016))))</f>
        <v>2016</v>
      </c>
      <c r="H116" s="2" t="str">
        <f t="shared" si="12"/>
        <v/>
      </c>
      <c r="I116" s="2" t="str">
        <f t="shared" si="8"/>
        <v>May</v>
      </c>
      <c r="J116" s="2" t="str">
        <f t="shared" si="13"/>
        <v/>
      </c>
      <c r="K116" s="2" t="str">
        <f t="shared" si="9"/>
        <v>201611</v>
      </c>
    </row>
    <row r="117" spans="3:11" x14ac:dyDescent="0.2">
      <c r="C117" s="2">
        <v>12</v>
      </c>
      <c r="D117" s="9">
        <f t="shared" si="10"/>
        <v>42513</v>
      </c>
      <c r="E117" s="9">
        <f t="shared" si="11"/>
        <v>42526</v>
      </c>
      <c r="F117" s="9">
        <f t="shared" si="7"/>
        <v>42531</v>
      </c>
      <c r="G117" s="1">
        <f>IF(E117&lt;=DATE(2012,9,1),2012,IF(E117&lt;=DATE(2013,9,1),2013,IF(E117&lt;=DATE(2014,9,1),2014,IF(E117&lt;=DATE(2015,9,1),2015,2016))))</f>
        <v>2016</v>
      </c>
      <c r="H117" s="2" t="str">
        <f t="shared" si="12"/>
        <v/>
      </c>
      <c r="I117" s="2" t="str">
        <f t="shared" si="8"/>
        <v>June</v>
      </c>
      <c r="J117" s="2" t="str">
        <f t="shared" si="13"/>
        <v>Wed</v>
      </c>
      <c r="K117" s="2" t="str">
        <f t="shared" si="9"/>
        <v>201612</v>
      </c>
    </row>
    <row r="118" spans="3:11" x14ac:dyDescent="0.2">
      <c r="C118" s="2">
        <v>13</v>
      </c>
      <c r="D118" s="9">
        <f t="shared" si="10"/>
        <v>42527</v>
      </c>
      <c r="E118" s="9">
        <f t="shared" si="11"/>
        <v>42540</v>
      </c>
      <c r="F118" s="9">
        <f t="shared" si="7"/>
        <v>42545</v>
      </c>
      <c r="G118" s="1">
        <f>IF(E118&lt;=DATE(2012,9,1),2012,IF(E118&lt;=DATE(2013,9,1),2013,IF(E118&lt;=DATE(2014,9,1),2014,IF(E118&lt;=DATE(2015,9,1),2015,2016))))</f>
        <v>2016</v>
      </c>
      <c r="H118" s="2" t="str">
        <f t="shared" si="12"/>
        <v/>
      </c>
      <c r="I118" s="2" t="str">
        <f t="shared" si="8"/>
        <v>June</v>
      </c>
      <c r="J118" s="2" t="str">
        <f t="shared" si="13"/>
        <v/>
      </c>
      <c r="K118" s="2" t="str">
        <f t="shared" si="9"/>
        <v>201613</v>
      </c>
    </row>
    <row r="119" spans="3:11" x14ac:dyDescent="0.2">
      <c r="C119" s="2">
        <v>14</v>
      </c>
      <c r="D119" s="9">
        <f t="shared" si="10"/>
        <v>42541</v>
      </c>
      <c r="E119" s="9">
        <f t="shared" si="11"/>
        <v>42554</v>
      </c>
      <c r="F119" s="9">
        <f t="shared" si="7"/>
        <v>42559</v>
      </c>
      <c r="G119" s="1">
        <f>IF(E119&lt;=DATE(2012,9,1),2012,IF(E119&lt;=DATE(2013,9,1),2013,IF(E119&lt;=DATE(2014,9,1),2014,IF(E119&lt;=DATE(2015,9,1),2015,2016))))</f>
        <v>2016</v>
      </c>
      <c r="I119" s="2" t="str">
        <f t="shared" si="8"/>
        <v>July</v>
      </c>
      <c r="J119" s="2" t="str">
        <f t="shared" si="13"/>
        <v>Fri</v>
      </c>
      <c r="K119" s="2" t="str">
        <f t="shared" si="9"/>
        <v>201614</v>
      </c>
    </row>
    <row r="120" spans="3:11" x14ac:dyDescent="0.2">
      <c r="C120" s="2">
        <v>15</v>
      </c>
      <c r="D120" s="9">
        <f t="shared" si="10"/>
        <v>42555</v>
      </c>
      <c r="E120" s="9">
        <f t="shared" si="11"/>
        <v>42568</v>
      </c>
      <c r="F120" s="9">
        <f t="shared" si="7"/>
        <v>42573</v>
      </c>
      <c r="G120" s="1">
        <f>IF(E120&lt;=DATE(2012,9,1),2012,IF(E120&lt;=DATE(2013,9,1),2013,IF(E120&lt;=DATE(2014,9,1),2014,IF(E120&lt;=DATE(2015,9,1),2015,2016))))</f>
        <v>2016</v>
      </c>
      <c r="I120" s="2" t="str">
        <f t="shared" si="8"/>
        <v>July</v>
      </c>
      <c r="J120" s="2" t="str">
        <f t="shared" si="13"/>
        <v/>
      </c>
      <c r="K120" s="2" t="str">
        <f t="shared" si="9"/>
        <v>201615</v>
      </c>
    </row>
    <row r="121" spans="3:11" x14ac:dyDescent="0.2">
      <c r="C121" s="2">
        <v>16</v>
      </c>
      <c r="D121" s="9">
        <f t="shared" si="10"/>
        <v>42569</v>
      </c>
      <c r="E121" s="9">
        <f t="shared" si="11"/>
        <v>42582</v>
      </c>
      <c r="F121" s="9">
        <f t="shared" si="7"/>
        <v>42587</v>
      </c>
      <c r="G121" s="1">
        <f>IF(E121&lt;=DATE(2012,9,1),2012,IF(E121&lt;=DATE(2013,9,1),2013,IF(E121&lt;=DATE(2014,9,1),2014,IF(E121&lt;=DATE(2015,9,1),2015,2016))))</f>
        <v>2016</v>
      </c>
      <c r="I121" s="2" t="str">
        <f t="shared" si="8"/>
        <v>August</v>
      </c>
      <c r="J121" s="2" t="str">
        <f t="shared" si="13"/>
        <v/>
      </c>
      <c r="K121" s="2" t="str">
        <f t="shared" si="9"/>
        <v>201616</v>
      </c>
    </row>
    <row r="122" spans="3:11" x14ac:dyDescent="0.2">
      <c r="C122" s="2">
        <v>17</v>
      </c>
      <c r="D122" s="9">
        <f t="shared" si="10"/>
        <v>42583</v>
      </c>
      <c r="E122" s="9">
        <f t="shared" si="11"/>
        <v>42596</v>
      </c>
      <c r="F122" s="9">
        <f t="shared" si="7"/>
        <v>42601</v>
      </c>
      <c r="G122" s="1">
        <f>IF(E122&lt;=DATE(2012,9,1),2012,IF(E122&lt;=DATE(2013,9,1),2013,IF(E122&lt;=DATE(2014,9,1),2014,IF(E122&lt;=DATE(2015,9,1),2015,2016))))</f>
        <v>2016</v>
      </c>
      <c r="I122" s="2" t="str">
        <f t="shared" si="8"/>
        <v>August</v>
      </c>
      <c r="J122" s="2" t="str">
        <f t="shared" si="13"/>
        <v>Mon</v>
      </c>
      <c r="K122" s="2" t="str">
        <f t="shared" si="9"/>
        <v>201617</v>
      </c>
    </row>
    <row r="123" spans="3:11" x14ac:dyDescent="0.2">
      <c r="C123" s="2">
        <v>18</v>
      </c>
      <c r="D123" s="9">
        <f t="shared" si="10"/>
        <v>42597</v>
      </c>
      <c r="E123" s="9">
        <f t="shared" si="11"/>
        <v>42610</v>
      </c>
      <c r="F123" s="9">
        <f t="shared" si="7"/>
        <v>42615</v>
      </c>
      <c r="G123" s="1">
        <f>IF(E123&lt;=DATE(2012,9,1),2012,IF(E123&lt;=DATE(2013,9,1),2013,IF(E123&lt;=DATE(2014,9,1),2014,IF(E123&lt;=DATE(2015,9,1),2015,2016))))</f>
        <v>2016</v>
      </c>
      <c r="I123" s="2" t="str">
        <f t="shared" si="8"/>
        <v>September</v>
      </c>
      <c r="J123" s="2" t="str">
        <f t="shared" si="13"/>
        <v/>
      </c>
      <c r="K123" s="2" t="str">
        <f t="shared" si="9"/>
        <v>201618</v>
      </c>
    </row>
    <row r="124" spans="3:11" x14ac:dyDescent="0.2">
      <c r="C124" s="2">
        <v>19</v>
      </c>
      <c r="D124" s="9">
        <f t="shared" si="10"/>
        <v>42611</v>
      </c>
      <c r="E124" s="9">
        <f t="shared" si="11"/>
        <v>42624</v>
      </c>
      <c r="F124" s="9">
        <f t="shared" si="7"/>
        <v>42629</v>
      </c>
      <c r="G124" s="1">
        <f>IF(E124&lt;=DATE(2012,9,1),2012,IF(E124&lt;=DATE(2013,9,1),2013,IF(E124&lt;=DATE(2014,9,1),2014,IF(E124&lt;=DATE(2015,9,1),2015,2016))))</f>
        <v>2016</v>
      </c>
      <c r="I124" s="2" t="str">
        <f t="shared" si="8"/>
        <v>September</v>
      </c>
      <c r="J124" s="2" t="str">
        <f t="shared" si="13"/>
        <v>Thu</v>
      </c>
      <c r="K124" s="2" t="str">
        <f t="shared" si="9"/>
        <v>201619</v>
      </c>
    </row>
    <row r="125" spans="3:11" x14ac:dyDescent="0.2">
      <c r="C125" s="2"/>
    </row>
    <row r="126" spans="3:11" x14ac:dyDescent="0.2">
      <c r="C126" s="2"/>
    </row>
    <row r="127" spans="3:11" x14ac:dyDescent="0.2">
      <c r="C127" s="2"/>
    </row>
    <row r="128" spans="3:11" x14ac:dyDescent="0.2">
      <c r="C128" s="2"/>
    </row>
    <row r="129" spans="3:3" x14ac:dyDescent="0.2">
      <c r="C129" s="2"/>
    </row>
    <row r="130" spans="3:3" x14ac:dyDescent="0.2">
      <c r="C130" s="2"/>
    </row>
    <row r="131" spans="3:3" x14ac:dyDescent="0.2">
      <c r="C131" s="2"/>
    </row>
    <row r="132" spans="3:3" x14ac:dyDescent="0.2">
      <c r="C132" s="2"/>
    </row>
    <row r="133" spans="3:3" x14ac:dyDescent="0.2">
      <c r="C133" s="2"/>
    </row>
    <row r="134" spans="3:3" x14ac:dyDescent="0.2">
      <c r="C134" s="2"/>
    </row>
    <row r="135" spans="3:3" x14ac:dyDescent="0.2">
      <c r="C135" s="2"/>
    </row>
    <row r="136" spans="3:3" x14ac:dyDescent="0.2">
      <c r="C136" s="2"/>
    </row>
    <row r="137" spans="3:3" x14ac:dyDescent="0.2">
      <c r="C137" s="2"/>
    </row>
    <row r="138" spans="3:3" x14ac:dyDescent="0.2">
      <c r="C138" s="2"/>
    </row>
    <row r="139" spans="3:3" x14ac:dyDescent="0.2">
      <c r="C139" s="2"/>
    </row>
    <row r="140" spans="3:3" x14ac:dyDescent="0.2">
      <c r="C140" s="2"/>
    </row>
    <row r="141" spans="3:3" x14ac:dyDescent="0.2">
      <c r="C141" s="2"/>
    </row>
    <row r="142" spans="3:3" x14ac:dyDescent="0.2">
      <c r="C142" s="2"/>
    </row>
    <row r="143" spans="3:3" x14ac:dyDescent="0.2">
      <c r="C143" s="2"/>
    </row>
    <row r="144" spans="3:3" x14ac:dyDescent="0.2">
      <c r="C144" s="2"/>
    </row>
    <row r="145" spans="3:3" x14ac:dyDescent="0.2">
      <c r="C145" s="2"/>
    </row>
  </sheetData>
  <sortState ref="B2:B20">
    <sortCondition ref="B2"/>
  </sortState>
  <dataConsolidate/>
  <pageMargins left="0.7" right="0.7" top="0.75" bottom="0.75" header="0.3" footer="0.3"/>
  <pageSetup orientation="portrait" horizontalDpi="300" verticalDpi="300"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P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/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e">
        <f>INDEX(Refs!I:I,MATCH(B1 &amp; B2,Refs!K:K,0))</f>
        <v>#N/A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 t="e">
        <f>INDEX(Refs!D:D,MATCH(templatesheet!B1 &amp; templatesheet!B2,Refs!K:K,0))</f>
        <v>#N/A</v>
      </c>
      <c r="C5" s="12" t="e">
        <f>B5+1</f>
        <v>#N/A</v>
      </c>
      <c r="D5" s="12" t="e">
        <f t="shared" ref="D5:O5" si="0">C5+1</f>
        <v>#N/A</v>
      </c>
      <c r="E5" s="12" t="e">
        <f t="shared" si="0"/>
        <v>#N/A</v>
      </c>
      <c r="F5" s="12" t="e">
        <f t="shared" si="0"/>
        <v>#N/A</v>
      </c>
      <c r="G5" s="12" t="e">
        <f t="shared" si="0"/>
        <v>#N/A</v>
      </c>
      <c r="H5" s="12" t="e">
        <f t="shared" si="0"/>
        <v>#N/A</v>
      </c>
      <c r="I5" s="12" t="e">
        <f t="shared" si="0"/>
        <v>#N/A</v>
      </c>
      <c r="J5" s="12" t="e">
        <f t="shared" si="0"/>
        <v>#N/A</v>
      </c>
      <c r="K5" s="12" t="e">
        <f t="shared" si="0"/>
        <v>#N/A</v>
      </c>
      <c r="L5" s="12" t="e">
        <f t="shared" si="0"/>
        <v>#N/A</v>
      </c>
      <c r="M5" s="12" t="e">
        <f t="shared" si="0"/>
        <v>#N/A</v>
      </c>
      <c r="N5" s="12" t="e">
        <f t="shared" si="0"/>
        <v>#N/A</v>
      </c>
      <c r="O5" s="12" t="e">
        <f t="shared" si="0"/>
        <v>#N/A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5">
        <f>SUM(B7:O7)</f>
        <v>0</v>
      </c>
    </row>
    <row r="8" spans="1:16" ht="20.25" customHeight="1" x14ac:dyDescent="0.2">
      <c r="A8" s="15" t="s">
        <v>38</v>
      </c>
      <c r="B8" s="14">
        <f t="shared" ref="B8:P8" si="1">SUM(B7)</f>
        <v>0</v>
      </c>
      <c r="C8" s="14">
        <f t="shared" si="1"/>
        <v>0</v>
      </c>
      <c r="D8" s="14">
        <f t="shared" si="1"/>
        <v>0</v>
      </c>
      <c r="E8" s="14">
        <f t="shared" si="1"/>
        <v>0</v>
      </c>
      <c r="F8" s="14">
        <f t="shared" si="1"/>
        <v>0</v>
      </c>
      <c r="G8" s="14">
        <f t="shared" si="1"/>
        <v>0</v>
      </c>
      <c r="H8" s="14">
        <f t="shared" si="1"/>
        <v>0</v>
      </c>
      <c r="I8" s="14">
        <f t="shared" si="1"/>
        <v>0</v>
      </c>
      <c r="J8" s="14">
        <f t="shared" si="1"/>
        <v>0</v>
      </c>
      <c r="K8" s="14">
        <f t="shared" si="1"/>
        <v>0</v>
      </c>
      <c r="L8" s="14">
        <f t="shared" si="1"/>
        <v>0</v>
      </c>
      <c r="M8" s="14">
        <f t="shared" si="1"/>
        <v>0</v>
      </c>
      <c r="N8" s="14">
        <f t="shared" si="1"/>
        <v>0</v>
      </c>
      <c r="O8" s="14">
        <f t="shared" si="1"/>
        <v>0</v>
      </c>
      <c r="P8" s="14">
        <f t="shared" si="1"/>
        <v>0</v>
      </c>
    </row>
  </sheetData>
  <dataConsolidate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614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6145" r:id="rId4" name="btnAddActivity"/>
      </mc:Fallback>
    </mc:AlternateContent>
  </controls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T217"/>
  <sheetViews>
    <sheetView workbookViewId="0">
      <selection activeCell="C11" sqref="C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26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41253</v>
      </c>
      <c r="C5" s="12">
        <f>B5+1</f>
        <v>41254</v>
      </c>
      <c r="D5" s="12">
        <f t="shared" ref="D5:O5" si="0">C5+1</f>
        <v>41255</v>
      </c>
      <c r="E5" s="12">
        <f t="shared" si="0"/>
        <v>41256</v>
      </c>
      <c r="F5" s="12">
        <f t="shared" si="0"/>
        <v>41257</v>
      </c>
      <c r="G5" s="12">
        <f t="shared" si="0"/>
        <v>41258</v>
      </c>
      <c r="H5" s="12">
        <f t="shared" si="0"/>
        <v>41259</v>
      </c>
      <c r="I5" s="12">
        <f t="shared" si="0"/>
        <v>41260</v>
      </c>
      <c r="J5" s="12">
        <f t="shared" si="0"/>
        <v>41261</v>
      </c>
      <c r="K5" s="12">
        <f t="shared" si="0"/>
        <v>41262</v>
      </c>
      <c r="L5" s="12">
        <f t="shared" si="0"/>
        <v>41263</v>
      </c>
      <c r="M5" s="12">
        <f t="shared" si="0"/>
        <v>41264</v>
      </c>
      <c r="N5" s="12">
        <f t="shared" si="0"/>
        <v>41265</v>
      </c>
      <c r="O5" s="12">
        <f t="shared" si="0"/>
        <v>41266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1</v>
      </c>
      <c r="C7" s="24">
        <v>0.75</v>
      </c>
      <c r="D7" s="24">
        <v>1.5</v>
      </c>
      <c r="E7" s="24">
        <v>0.5</v>
      </c>
      <c r="F7" s="24">
        <v>1.5</v>
      </c>
      <c r="G7" s="24"/>
      <c r="H7" s="24"/>
      <c r="I7" s="24">
        <v>1.75</v>
      </c>
      <c r="J7" s="24"/>
      <c r="K7" s="24"/>
      <c r="L7" s="24">
        <v>1.75</v>
      </c>
      <c r="M7" s="24">
        <v>2.25</v>
      </c>
      <c r="N7" s="24"/>
      <c r="O7" s="24"/>
      <c r="P7" s="25">
        <f t="shared" ref="P7:P16" si="1">SUM(B7:O7)</f>
        <v>11</v>
      </c>
    </row>
    <row r="8" spans="1:16" ht="20.25" customHeight="1" x14ac:dyDescent="0.25">
      <c r="A8" s="23" t="s">
        <v>28</v>
      </c>
      <c r="B8" s="24"/>
      <c r="C8" s="24">
        <v>1.75</v>
      </c>
      <c r="D8" s="24">
        <v>3.5</v>
      </c>
      <c r="E8" s="24">
        <v>2</v>
      </c>
      <c r="F8" s="24">
        <v>3</v>
      </c>
      <c r="G8" s="24"/>
      <c r="H8" s="24"/>
      <c r="I8" s="24">
        <v>1.5</v>
      </c>
      <c r="J8" s="24">
        <v>1.5</v>
      </c>
      <c r="K8" s="24"/>
      <c r="L8" s="24">
        <v>3.75</v>
      </c>
      <c r="M8" s="24">
        <v>3.5</v>
      </c>
      <c r="N8" s="24"/>
      <c r="O8" s="24"/>
      <c r="P8" s="25">
        <f t="shared" si="1"/>
        <v>20.5</v>
      </c>
    </row>
    <row r="9" spans="1:16" ht="20.25" customHeight="1" x14ac:dyDescent="0.25">
      <c r="A9" s="23" t="s">
        <v>25</v>
      </c>
      <c r="B9" s="24">
        <v>1.25</v>
      </c>
      <c r="C9" s="24"/>
      <c r="D9" s="24"/>
      <c r="E9" s="24"/>
      <c r="F9" s="24"/>
      <c r="G9" s="24"/>
      <c r="H9" s="24"/>
      <c r="I9" s="24"/>
      <c r="J9" s="24"/>
      <c r="K9" s="24"/>
      <c r="L9" s="24">
        <v>2</v>
      </c>
      <c r="M9" s="24"/>
      <c r="N9" s="24"/>
      <c r="O9" s="24"/>
      <c r="P9" s="25">
        <f t="shared" si="1"/>
        <v>3.25</v>
      </c>
    </row>
    <row r="10" spans="1:16" ht="20.25" customHeight="1" x14ac:dyDescent="0.25">
      <c r="A10" s="23" t="s">
        <v>20</v>
      </c>
      <c r="B10" s="24">
        <v>1.5</v>
      </c>
      <c r="C10" s="24">
        <v>2.75</v>
      </c>
      <c r="D10" s="24">
        <v>2.25</v>
      </c>
      <c r="E10" s="24">
        <v>2</v>
      </c>
      <c r="F10" s="24"/>
      <c r="G10" s="24"/>
      <c r="H10" s="24"/>
      <c r="I10" s="24">
        <v>1</v>
      </c>
      <c r="J10" s="24"/>
      <c r="K10" s="24"/>
      <c r="L10" s="24"/>
      <c r="M10" s="24">
        <v>0.5</v>
      </c>
      <c r="N10" s="24"/>
      <c r="O10" s="24"/>
      <c r="P10" s="25">
        <f t="shared" si="1"/>
        <v>10</v>
      </c>
    </row>
    <row r="11" spans="1:16" ht="20.25" customHeight="1" x14ac:dyDescent="0.25">
      <c r="A11" s="23" t="s">
        <v>21</v>
      </c>
      <c r="B11" s="24"/>
      <c r="C11" s="24"/>
      <c r="D11" s="24"/>
      <c r="E11" s="24"/>
      <c r="F11" s="24"/>
      <c r="G11" s="24"/>
      <c r="H11" s="24"/>
      <c r="I11" s="24">
        <v>2</v>
      </c>
      <c r="J11" s="24">
        <v>2.5</v>
      </c>
      <c r="K11" s="24"/>
      <c r="L11" s="24"/>
      <c r="M11" s="24"/>
      <c r="N11" s="24"/>
      <c r="O11" s="24"/>
      <c r="P11" s="25">
        <f t="shared" si="1"/>
        <v>4.5</v>
      </c>
    </row>
    <row r="12" spans="1:16" ht="20.25" customHeight="1" x14ac:dyDescent="0.25">
      <c r="A12" s="23" t="s">
        <v>19</v>
      </c>
      <c r="B12" s="24">
        <v>2.5</v>
      </c>
      <c r="C12" s="24">
        <v>0.25</v>
      </c>
      <c r="D12" s="24"/>
      <c r="E12" s="24"/>
      <c r="F12" s="24">
        <v>1</v>
      </c>
      <c r="G12" s="24"/>
      <c r="H12" s="24"/>
      <c r="I12" s="24">
        <v>1.75</v>
      </c>
      <c r="J12" s="24"/>
      <c r="K12" s="24"/>
      <c r="L12" s="24"/>
      <c r="M12" s="24">
        <v>1.75</v>
      </c>
      <c r="N12" s="24"/>
      <c r="O12" s="24"/>
      <c r="P12" s="25">
        <f t="shared" si="1"/>
        <v>7.25</v>
      </c>
    </row>
    <row r="13" spans="1:16" ht="20.25" customHeight="1" x14ac:dyDescent="0.25">
      <c r="A13" s="23" t="s">
        <v>52</v>
      </c>
      <c r="B13" s="24"/>
      <c r="C13" s="24"/>
      <c r="D13" s="24"/>
      <c r="E13" s="24"/>
      <c r="F13" s="24">
        <v>0.5</v>
      </c>
      <c r="G13" s="24"/>
      <c r="H13" s="24"/>
      <c r="I13" s="24"/>
      <c r="J13" s="24"/>
      <c r="K13" s="24"/>
      <c r="L13" s="24"/>
      <c r="M13" s="24"/>
      <c r="N13" s="24"/>
      <c r="O13" s="24"/>
      <c r="P13" s="25">
        <f t="shared" si="1"/>
        <v>0.5</v>
      </c>
    </row>
    <row r="14" spans="1:16" ht="20.25" customHeight="1" x14ac:dyDescent="0.25">
      <c r="A14" s="23" t="s">
        <v>29</v>
      </c>
      <c r="B14" s="24">
        <v>0.75</v>
      </c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5">
        <f t="shared" si="1"/>
        <v>0.75</v>
      </c>
    </row>
    <row r="15" spans="1:16" ht="20.25" customHeight="1" x14ac:dyDescent="0.25">
      <c r="A15" s="23" t="s">
        <v>27</v>
      </c>
      <c r="B15" s="24"/>
      <c r="C15" s="24">
        <v>2</v>
      </c>
      <c r="D15" s="24"/>
      <c r="E15" s="24">
        <v>3.5</v>
      </c>
      <c r="F15" s="24">
        <v>2</v>
      </c>
      <c r="G15" s="24"/>
      <c r="H15" s="24"/>
      <c r="I15" s="24"/>
      <c r="J15" s="24">
        <v>3</v>
      </c>
      <c r="K15" s="24">
        <v>8</v>
      </c>
      <c r="L15" s="24"/>
      <c r="M15" s="24"/>
      <c r="N15" s="24"/>
      <c r="O15" s="24"/>
      <c r="P15" s="25">
        <f t="shared" si="1"/>
        <v>18.5</v>
      </c>
    </row>
    <row r="16" spans="1:16" ht="20.25" customHeight="1" x14ac:dyDescent="0.25">
      <c r="A16" s="23" t="s">
        <v>18</v>
      </c>
      <c r="B16" s="24">
        <v>1</v>
      </c>
      <c r="C16" s="24">
        <v>0.5</v>
      </c>
      <c r="D16" s="24">
        <v>0.75</v>
      </c>
      <c r="E16" s="24"/>
      <c r="F16" s="24"/>
      <c r="G16" s="24"/>
      <c r="H16" s="24"/>
      <c r="I16" s="24"/>
      <c r="J16" s="24">
        <v>1</v>
      </c>
      <c r="K16" s="24"/>
      <c r="L16" s="24">
        <v>0.5</v>
      </c>
      <c r="M16" s="24"/>
      <c r="N16" s="24"/>
      <c r="O16" s="24"/>
      <c r="P16" s="25">
        <f t="shared" si="1"/>
        <v>3.75</v>
      </c>
    </row>
    <row r="17" spans="1:20" ht="20.25" customHeight="1" x14ac:dyDescent="0.2">
      <c r="A17" s="15" t="s">
        <v>38</v>
      </c>
      <c r="B17" s="14">
        <f t="shared" ref="B17:P17" si="2">SUM(B7:B16)</f>
        <v>8</v>
      </c>
      <c r="C17" s="14">
        <f t="shared" si="2"/>
        <v>8</v>
      </c>
      <c r="D17" s="14">
        <f t="shared" si="2"/>
        <v>8</v>
      </c>
      <c r="E17" s="14">
        <f t="shared" si="2"/>
        <v>8</v>
      </c>
      <c r="F17" s="14">
        <f t="shared" si="2"/>
        <v>8</v>
      </c>
      <c r="G17" s="14">
        <f t="shared" si="2"/>
        <v>0</v>
      </c>
      <c r="H17" s="14">
        <f t="shared" si="2"/>
        <v>0</v>
      </c>
      <c r="I17" s="14">
        <f t="shared" si="2"/>
        <v>8</v>
      </c>
      <c r="J17" s="14">
        <f t="shared" si="2"/>
        <v>8</v>
      </c>
      <c r="K17" s="14">
        <f t="shared" si="2"/>
        <v>8</v>
      </c>
      <c r="L17" s="14">
        <f t="shared" si="2"/>
        <v>8</v>
      </c>
      <c r="M17" s="14">
        <f t="shared" si="2"/>
        <v>8</v>
      </c>
      <c r="N17" s="14">
        <f t="shared" si="2"/>
        <v>0</v>
      </c>
      <c r="O17" s="14">
        <f t="shared" si="2"/>
        <v>0</v>
      </c>
      <c r="P17" s="14">
        <f t="shared" si="2"/>
        <v>80</v>
      </c>
    </row>
    <row r="18" spans="1:20" ht="20.25" customHeight="1" x14ac:dyDescent="0.25">
      <c r="A18"/>
      <c r="B18"/>
      <c r="C18"/>
      <c r="D18"/>
      <c r="E18"/>
      <c r="F18"/>
      <c r="G18" s="23" t="s">
        <v>59</v>
      </c>
      <c r="H18" s="14">
        <f>SUM(B17:H17)</f>
        <v>40</v>
      </c>
      <c r="I18"/>
      <c r="J18"/>
      <c r="K18"/>
      <c r="L18"/>
      <c r="M18"/>
      <c r="N18" s="23" t="s">
        <v>60</v>
      </c>
      <c r="O18" s="14">
        <f>SUM(I17:O17)</f>
        <v>40</v>
      </c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</sheetData>
  <sortState ref="A7:P16">
    <sortCondition ref="A7:A16"/>
  </sortState>
  <conditionalFormatting sqref="B17:F17 I17:M17">
    <cfRule type="cellIs" dxfId="58" priority="6" operator="greaterThan">
      <formula>8</formula>
    </cfRule>
    <cfRule type="cellIs" dxfId="57" priority="335" operator="equal">
      <formula>8</formula>
    </cfRule>
  </conditionalFormatting>
  <conditionalFormatting sqref="P7:P16">
    <cfRule type="cellIs" dxfId="56" priority="5" operator="greaterThan">
      <formula>80</formula>
    </cfRule>
  </conditionalFormatting>
  <conditionalFormatting sqref="P17">
    <cfRule type="cellIs" dxfId="55" priority="4" operator="greaterThan">
      <formula>80</formula>
    </cfRule>
    <cfRule type="cellIs" dxfId="54" priority="336" operator="equal">
      <formula>80</formula>
    </cfRule>
  </conditionalFormatting>
  <conditionalFormatting sqref="H18">
    <cfRule type="cellIs" dxfId="53" priority="3" operator="greaterThan">
      <formula>40</formula>
    </cfRule>
    <cfRule type="cellIs" dxfId="52" priority="337" operator="equal">
      <formula>40</formula>
    </cfRule>
  </conditionalFormatting>
  <conditionalFormatting sqref="O18">
    <cfRule type="cellIs" dxfId="51" priority="2" operator="greaterThan">
      <formula>40</formula>
    </cfRule>
    <cfRule type="cellIs" dxfId="50" priority="338" operator="equal">
      <formula>40</formula>
    </cfRule>
  </conditionalFormatting>
  <conditionalFormatting sqref="G17:H17 N17:O17">
    <cfRule type="cellIs" dxfId="4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710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47105" r:id="rId4" name="btnAddActivity"/>
      </mc:Fallback>
    </mc:AlternateContent>
  </controls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T218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25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61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41239</v>
      </c>
      <c r="C5" s="12">
        <f>B5+1</f>
        <v>41240</v>
      </c>
      <c r="D5" s="12">
        <f t="shared" ref="D5:O5" si="0">C5+1</f>
        <v>41241</v>
      </c>
      <c r="E5" s="12">
        <f t="shared" si="0"/>
        <v>41242</v>
      </c>
      <c r="F5" s="12">
        <f t="shared" si="0"/>
        <v>41243</v>
      </c>
      <c r="G5" s="12">
        <f t="shared" si="0"/>
        <v>41244</v>
      </c>
      <c r="H5" s="12">
        <f t="shared" si="0"/>
        <v>41245</v>
      </c>
      <c r="I5" s="12">
        <f t="shared" si="0"/>
        <v>41246</v>
      </c>
      <c r="J5" s="12">
        <f t="shared" si="0"/>
        <v>41247</v>
      </c>
      <c r="K5" s="12">
        <f t="shared" si="0"/>
        <v>41248</v>
      </c>
      <c r="L5" s="12">
        <f t="shared" si="0"/>
        <v>41249</v>
      </c>
      <c r="M5" s="12">
        <f t="shared" si="0"/>
        <v>41250</v>
      </c>
      <c r="N5" s="12">
        <f t="shared" si="0"/>
        <v>41251</v>
      </c>
      <c r="O5" s="12">
        <f t="shared" si="0"/>
        <v>41252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3</v>
      </c>
      <c r="C7" s="24">
        <v>2.25</v>
      </c>
      <c r="D7" s="24">
        <v>2</v>
      </c>
      <c r="E7" s="24"/>
      <c r="F7" s="24">
        <v>1.25</v>
      </c>
      <c r="G7" s="24"/>
      <c r="H7" s="24"/>
      <c r="I7" s="24">
        <v>1.25</v>
      </c>
      <c r="J7" s="24">
        <v>3.5</v>
      </c>
      <c r="K7" s="24"/>
      <c r="L7" s="24">
        <v>2.25</v>
      </c>
      <c r="M7" s="24">
        <v>1</v>
      </c>
      <c r="N7" s="24"/>
      <c r="O7" s="24"/>
      <c r="P7" s="25">
        <f t="shared" ref="P7:P17" si="1">SUM(B7:O7)</f>
        <v>16.5</v>
      </c>
    </row>
    <row r="8" spans="1:16" ht="20.25" customHeight="1" x14ac:dyDescent="0.25">
      <c r="A8" s="23" t="s">
        <v>28</v>
      </c>
      <c r="B8" s="24">
        <v>1.5</v>
      </c>
      <c r="C8" s="24">
        <v>2</v>
      </c>
      <c r="D8" s="24">
        <v>0.75</v>
      </c>
      <c r="E8" s="24">
        <v>3</v>
      </c>
      <c r="F8" s="24"/>
      <c r="G8" s="24"/>
      <c r="H8" s="24"/>
      <c r="I8" s="24">
        <v>2.5</v>
      </c>
      <c r="J8" s="24">
        <v>1</v>
      </c>
      <c r="K8" s="24"/>
      <c r="L8" s="24">
        <v>2</v>
      </c>
      <c r="M8" s="24">
        <v>1.75</v>
      </c>
      <c r="N8" s="24"/>
      <c r="O8" s="24"/>
      <c r="P8" s="25">
        <f t="shared" si="1"/>
        <v>14.5</v>
      </c>
    </row>
    <row r="9" spans="1:16" ht="20.25" customHeight="1" x14ac:dyDescent="0.25">
      <c r="A9" s="23" t="s">
        <v>25</v>
      </c>
      <c r="B9" s="24"/>
      <c r="C9" s="24">
        <v>1.5</v>
      </c>
      <c r="D9" s="24"/>
      <c r="E9" s="24">
        <v>1.5</v>
      </c>
      <c r="F9" s="24">
        <v>2</v>
      </c>
      <c r="G9" s="24"/>
      <c r="H9" s="24"/>
      <c r="I9" s="24"/>
      <c r="J9" s="24"/>
      <c r="K9" s="24"/>
      <c r="L9" s="24"/>
      <c r="M9" s="24"/>
      <c r="N9" s="24"/>
      <c r="O9" s="24"/>
      <c r="P9" s="25">
        <f t="shared" si="1"/>
        <v>5</v>
      </c>
    </row>
    <row r="10" spans="1:16" ht="20.25" customHeight="1" x14ac:dyDescent="0.25">
      <c r="A10" s="23" t="s">
        <v>53</v>
      </c>
      <c r="B10" s="24"/>
      <c r="C10" s="24"/>
      <c r="D10" s="24"/>
      <c r="E10" s="24"/>
      <c r="F10" s="24">
        <v>2.5</v>
      </c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2.5</v>
      </c>
    </row>
    <row r="11" spans="1:16" ht="20.25" customHeight="1" x14ac:dyDescent="0.25">
      <c r="A11" s="23" t="s">
        <v>20</v>
      </c>
      <c r="B11" s="24"/>
      <c r="C11" s="24"/>
      <c r="D11" s="24">
        <v>1.75</v>
      </c>
      <c r="E11" s="24"/>
      <c r="F11" s="24"/>
      <c r="G11" s="24"/>
      <c r="H11" s="24"/>
      <c r="I11" s="24"/>
      <c r="J11" s="24"/>
      <c r="K11" s="24"/>
      <c r="L11" s="24"/>
      <c r="M11" s="24">
        <v>2</v>
      </c>
      <c r="N11" s="24"/>
      <c r="O11" s="24"/>
      <c r="P11" s="25">
        <f t="shared" si="1"/>
        <v>3.75</v>
      </c>
    </row>
    <row r="12" spans="1:16" ht="20.25" customHeight="1" x14ac:dyDescent="0.25">
      <c r="A12" s="23" t="s">
        <v>21</v>
      </c>
      <c r="B12" s="24"/>
      <c r="C12" s="24"/>
      <c r="D12" s="24"/>
      <c r="E12" s="24"/>
      <c r="F12" s="24"/>
      <c r="G12" s="24"/>
      <c r="H12" s="24"/>
      <c r="I12" s="24"/>
      <c r="J12" s="24"/>
      <c r="K12" s="24"/>
      <c r="L12" s="24">
        <v>3</v>
      </c>
      <c r="M12" s="24"/>
      <c r="N12" s="24"/>
      <c r="O12" s="24"/>
      <c r="P12" s="25">
        <f t="shared" si="1"/>
        <v>3</v>
      </c>
    </row>
    <row r="13" spans="1:16" ht="20.25" customHeight="1" x14ac:dyDescent="0.25">
      <c r="A13" s="23" t="s">
        <v>19</v>
      </c>
      <c r="B13" s="24">
        <v>3.5</v>
      </c>
      <c r="C13" s="24"/>
      <c r="D13" s="24">
        <v>2.5</v>
      </c>
      <c r="E13" s="24"/>
      <c r="F13" s="24"/>
      <c r="G13" s="24"/>
      <c r="H13" s="24"/>
      <c r="I13" s="24">
        <v>1.25</v>
      </c>
      <c r="J13" s="24">
        <v>0.5</v>
      </c>
      <c r="K13" s="24"/>
      <c r="L13" s="24">
        <v>0.25</v>
      </c>
      <c r="M13" s="24"/>
      <c r="N13" s="24"/>
      <c r="O13" s="24"/>
      <c r="P13" s="25">
        <f t="shared" si="1"/>
        <v>8</v>
      </c>
    </row>
    <row r="14" spans="1:16" ht="20.25" customHeight="1" x14ac:dyDescent="0.25">
      <c r="A14" s="23" t="s">
        <v>52</v>
      </c>
      <c r="B14" s="24"/>
      <c r="C14" s="24">
        <v>0.25</v>
      </c>
      <c r="D14" s="24"/>
      <c r="E14" s="24"/>
      <c r="F14" s="24">
        <v>0.25</v>
      </c>
      <c r="G14" s="24"/>
      <c r="H14" s="24"/>
      <c r="I14" s="24"/>
      <c r="J14" s="24"/>
      <c r="K14" s="24"/>
      <c r="L14" s="24"/>
      <c r="M14" s="24">
        <v>1.5</v>
      </c>
      <c r="N14" s="24"/>
      <c r="O14" s="24"/>
      <c r="P14" s="25">
        <f t="shared" si="1"/>
        <v>2</v>
      </c>
    </row>
    <row r="15" spans="1:16" ht="20.25" customHeight="1" x14ac:dyDescent="0.25">
      <c r="A15" s="23" t="s">
        <v>27</v>
      </c>
      <c r="B15" s="24"/>
      <c r="C15" s="24">
        <v>2</v>
      </c>
      <c r="D15" s="24"/>
      <c r="E15" s="24">
        <v>3.5</v>
      </c>
      <c r="F15" s="24">
        <v>2</v>
      </c>
      <c r="G15" s="24"/>
      <c r="H15" s="24"/>
      <c r="I15" s="24"/>
      <c r="J15" s="24">
        <v>3</v>
      </c>
      <c r="K15" s="24">
        <v>8</v>
      </c>
      <c r="L15" s="24"/>
      <c r="M15" s="24"/>
      <c r="N15" s="24"/>
      <c r="O15" s="24"/>
      <c r="P15" s="25">
        <f t="shared" si="1"/>
        <v>18.5</v>
      </c>
    </row>
    <row r="16" spans="1:16" ht="20.25" customHeight="1" x14ac:dyDescent="0.25">
      <c r="A16" s="23" t="s">
        <v>23</v>
      </c>
      <c r="B16" s="24"/>
      <c r="C16" s="24"/>
      <c r="D16" s="24"/>
      <c r="E16" s="24"/>
      <c r="F16" s="24"/>
      <c r="G16" s="24"/>
      <c r="H16" s="24"/>
      <c r="I16" s="24">
        <v>2</v>
      </c>
      <c r="J16" s="24"/>
      <c r="K16" s="24"/>
      <c r="L16" s="24"/>
      <c r="M16" s="24"/>
      <c r="N16" s="24"/>
      <c r="O16" s="24"/>
      <c r="P16" s="25">
        <f t="shared" si="1"/>
        <v>2</v>
      </c>
    </row>
    <row r="17" spans="1:20" ht="20.25" customHeight="1" x14ac:dyDescent="0.25">
      <c r="A17" s="23" t="s">
        <v>18</v>
      </c>
      <c r="B17" s="24"/>
      <c r="C17" s="24"/>
      <c r="D17" s="24">
        <v>1</v>
      </c>
      <c r="E17" s="24"/>
      <c r="F17" s="24"/>
      <c r="G17" s="24"/>
      <c r="H17" s="24"/>
      <c r="I17" s="24">
        <v>1</v>
      </c>
      <c r="J17" s="24"/>
      <c r="K17" s="24"/>
      <c r="L17" s="24">
        <v>0.5</v>
      </c>
      <c r="M17" s="24">
        <v>1.75</v>
      </c>
      <c r="N17" s="24"/>
      <c r="O17" s="24"/>
      <c r="P17" s="25">
        <f t="shared" si="1"/>
        <v>4.25</v>
      </c>
    </row>
    <row r="18" spans="1:20" ht="20.25" customHeight="1" x14ac:dyDescent="0.2">
      <c r="A18" s="15" t="s">
        <v>38</v>
      </c>
      <c r="B18" s="14">
        <f t="shared" ref="B18:P18" si="2">SUM(B7:B17)</f>
        <v>8</v>
      </c>
      <c r="C18" s="14">
        <f t="shared" si="2"/>
        <v>8</v>
      </c>
      <c r="D18" s="14">
        <f t="shared" si="2"/>
        <v>8</v>
      </c>
      <c r="E18" s="14">
        <f t="shared" si="2"/>
        <v>8</v>
      </c>
      <c r="F18" s="14">
        <f t="shared" si="2"/>
        <v>8</v>
      </c>
      <c r="G18" s="14">
        <f t="shared" si="2"/>
        <v>0</v>
      </c>
      <c r="H18" s="14">
        <f t="shared" si="2"/>
        <v>0</v>
      </c>
      <c r="I18" s="14">
        <f t="shared" si="2"/>
        <v>8</v>
      </c>
      <c r="J18" s="14">
        <f t="shared" si="2"/>
        <v>8</v>
      </c>
      <c r="K18" s="14">
        <f t="shared" si="2"/>
        <v>8</v>
      </c>
      <c r="L18" s="14">
        <f t="shared" si="2"/>
        <v>8</v>
      </c>
      <c r="M18" s="14">
        <f t="shared" si="2"/>
        <v>8</v>
      </c>
      <c r="N18" s="14">
        <f t="shared" si="2"/>
        <v>0</v>
      </c>
      <c r="O18" s="14">
        <f t="shared" si="2"/>
        <v>0</v>
      </c>
      <c r="P18" s="14">
        <f t="shared" si="2"/>
        <v>80</v>
      </c>
    </row>
    <row r="19" spans="1:20" ht="20.25" customHeight="1" x14ac:dyDescent="0.25">
      <c r="A19"/>
      <c r="B19"/>
      <c r="C19"/>
      <c r="D19"/>
      <c r="E19"/>
      <c r="F19"/>
      <c r="G19" s="23" t="s">
        <v>59</v>
      </c>
      <c r="H19" s="14">
        <f>SUM(B18:H18)</f>
        <v>40</v>
      </c>
      <c r="I19"/>
      <c r="J19"/>
      <c r="K19"/>
      <c r="L19"/>
      <c r="M19"/>
      <c r="N19" s="23" t="s">
        <v>60</v>
      </c>
      <c r="O19" s="14">
        <f>SUM(I18:O18)</f>
        <v>40</v>
      </c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</sheetData>
  <sortState ref="A7:P17">
    <sortCondition ref="A7:A17"/>
  </sortState>
  <conditionalFormatting sqref="G18:H18 N18:O18">
    <cfRule type="cellIs" dxfId="48" priority="1" operator="greaterThan">
      <formula>8</formula>
    </cfRule>
  </conditionalFormatting>
  <conditionalFormatting sqref="B18:F18 I18:M18">
    <cfRule type="cellIs" dxfId="47" priority="6" operator="greaterThan">
      <formula>8</formula>
    </cfRule>
    <cfRule type="cellIs" dxfId="46" priority="327" operator="equal">
      <formula>8</formula>
    </cfRule>
  </conditionalFormatting>
  <conditionalFormatting sqref="P7:P17">
    <cfRule type="cellIs" dxfId="45" priority="5" operator="greaterThan">
      <formula>80</formula>
    </cfRule>
  </conditionalFormatting>
  <conditionalFormatting sqref="P18">
    <cfRule type="cellIs" dxfId="44" priority="4" operator="greaterThan">
      <formula>80</formula>
    </cfRule>
    <cfRule type="cellIs" dxfId="43" priority="328" operator="equal">
      <formula>80</formula>
    </cfRule>
  </conditionalFormatting>
  <conditionalFormatting sqref="H19">
    <cfRule type="cellIs" dxfId="42" priority="3" operator="greaterThan">
      <formula>40</formula>
    </cfRule>
    <cfRule type="cellIs" dxfId="41" priority="329" operator="equal">
      <formula>40</formula>
    </cfRule>
  </conditionalFormatting>
  <conditionalFormatting sqref="O19">
    <cfRule type="cellIs" dxfId="40" priority="2" operator="greaterThan">
      <formula>40</formula>
    </cfRule>
    <cfRule type="cellIs" dxfId="39" priority="330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355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3553" r:id="rId4" name="btnAddActivity"/>
      </mc:Fallback>
    </mc:AlternateContent>
  </controls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T216"/>
  <sheetViews>
    <sheetView workbookViewId="0">
      <selection activeCell="J13" sqref="J13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24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41225</v>
      </c>
      <c r="C5" s="12">
        <f>B5+1</f>
        <v>41226</v>
      </c>
      <c r="D5" s="12">
        <f t="shared" ref="D5:O5" si="0">C5+1</f>
        <v>41227</v>
      </c>
      <c r="E5" s="12">
        <f t="shared" si="0"/>
        <v>41228</v>
      </c>
      <c r="F5" s="12">
        <f t="shared" si="0"/>
        <v>41229</v>
      </c>
      <c r="G5" s="12">
        <f t="shared" si="0"/>
        <v>41230</v>
      </c>
      <c r="H5" s="12">
        <f t="shared" si="0"/>
        <v>41231</v>
      </c>
      <c r="I5" s="12">
        <f t="shared" si="0"/>
        <v>41232</v>
      </c>
      <c r="J5" s="12">
        <f t="shared" si="0"/>
        <v>41233</v>
      </c>
      <c r="K5" s="12">
        <f t="shared" si="0"/>
        <v>41234</v>
      </c>
      <c r="L5" s="12">
        <f t="shared" si="0"/>
        <v>41235</v>
      </c>
      <c r="M5" s="12">
        <f t="shared" si="0"/>
        <v>41236</v>
      </c>
      <c r="N5" s="12">
        <f t="shared" si="0"/>
        <v>41237</v>
      </c>
      <c r="O5" s="12">
        <f t="shared" si="0"/>
        <v>41238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>
        <v>1.25</v>
      </c>
      <c r="C7" s="24">
        <v>2</v>
      </c>
      <c r="D7" s="24"/>
      <c r="E7" s="24"/>
      <c r="F7" s="24">
        <v>1.5</v>
      </c>
      <c r="G7" s="24"/>
      <c r="H7" s="24"/>
      <c r="I7" s="24">
        <v>0.5</v>
      </c>
      <c r="J7" s="24">
        <v>2.5</v>
      </c>
      <c r="K7" s="24">
        <v>0.5</v>
      </c>
      <c r="L7" s="24"/>
      <c r="M7" s="24"/>
      <c r="N7" s="24"/>
      <c r="O7" s="24"/>
      <c r="P7" s="25">
        <f t="shared" ref="P7:P15" si="1">SUM(B7:O7)</f>
        <v>8.25</v>
      </c>
    </row>
    <row r="8" spans="1:16" ht="20.25" customHeight="1" x14ac:dyDescent="0.25">
      <c r="A8" s="23" t="s">
        <v>28</v>
      </c>
      <c r="B8" s="24">
        <v>2</v>
      </c>
      <c r="C8" s="24"/>
      <c r="D8" s="24"/>
      <c r="E8" s="24"/>
      <c r="F8" s="24">
        <v>0.75</v>
      </c>
      <c r="G8" s="24"/>
      <c r="H8" s="24"/>
      <c r="I8" s="24">
        <v>3</v>
      </c>
      <c r="J8" s="24">
        <v>2.75</v>
      </c>
      <c r="K8" s="24">
        <v>3</v>
      </c>
      <c r="L8" s="24"/>
      <c r="M8" s="24"/>
      <c r="N8" s="24"/>
      <c r="O8" s="24"/>
      <c r="P8" s="25">
        <f t="shared" si="1"/>
        <v>11.5</v>
      </c>
    </row>
    <row r="9" spans="1:16" ht="20.25" customHeight="1" x14ac:dyDescent="0.25">
      <c r="A9" s="23" t="s">
        <v>20</v>
      </c>
      <c r="B9" s="24">
        <v>1.25</v>
      </c>
      <c r="C9" s="24">
        <v>1.5</v>
      </c>
      <c r="D9" s="24"/>
      <c r="E9" s="24"/>
      <c r="F9" s="24">
        <v>0.5</v>
      </c>
      <c r="G9" s="24"/>
      <c r="H9" s="24"/>
      <c r="I9" s="24">
        <v>1</v>
      </c>
      <c r="J9" s="24">
        <v>1.75</v>
      </c>
      <c r="K9" s="24"/>
      <c r="L9" s="24"/>
      <c r="M9" s="24"/>
      <c r="N9" s="24"/>
      <c r="O9" s="24"/>
      <c r="P9" s="25">
        <f t="shared" si="1"/>
        <v>6</v>
      </c>
    </row>
    <row r="10" spans="1:16" ht="20.25" customHeight="1" x14ac:dyDescent="0.25">
      <c r="A10" s="23" t="s">
        <v>21</v>
      </c>
      <c r="B10" s="24"/>
      <c r="C10" s="24"/>
      <c r="D10" s="24"/>
      <c r="E10" s="24"/>
      <c r="F10" s="24">
        <v>3.75</v>
      </c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3.75</v>
      </c>
    </row>
    <row r="11" spans="1:16" ht="20.25" customHeight="1" x14ac:dyDescent="0.25">
      <c r="A11" s="23" t="s">
        <v>19</v>
      </c>
      <c r="B11" s="24">
        <v>3.5</v>
      </c>
      <c r="C11" s="24">
        <v>2.5</v>
      </c>
      <c r="D11" s="24"/>
      <c r="E11" s="24"/>
      <c r="F11" s="24"/>
      <c r="G11" s="24"/>
      <c r="H11" s="24"/>
      <c r="I11" s="24">
        <v>2</v>
      </c>
      <c r="J11" s="24">
        <v>1</v>
      </c>
      <c r="K11" s="24"/>
      <c r="L11" s="24"/>
      <c r="M11" s="24"/>
      <c r="N11" s="24"/>
      <c r="O11" s="24"/>
      <c r="P11" s="25">
        <f t="shared" si="1"/>
        <v>9</v>
      </c>
    </row>
    <row r="12" spans="1:16" ht="20.25" customHeight="1" x14ac:dyDescent="0.25">
      <c r="A12" s="23" t="s">
        <v>52</v>
      </c>
      <c r="B12" s="24"/>
      <c r="C12" s="24"/>
      <c r="D12" s="24"/>
      <c r="E12" s="24"/>
      <c r="F12" s="24"/>
      <c r="G12" s="24"/>
      <c r="H12" s="24"/>
      <c r="I12" s="24">
        <v>1.5</v>
      </c>
      <c r="J12" s="24"/>
      <c r="K12" s="24">
        <v>3</v>
      </c>
      <c r="L12" s="24"/>
      <c r="M12" s="24"/>
      <c r="N12" s="24"/>
      <c r="O12" s="24"/>
      <c r="P12" s="25">
        <f t="shared" si="1"/>
        <v>4.5</v>
      </c>
    </row>
    <row r="13" spans="1:16" ht="20.25" customHeight="1" x14ac:dyDescent="0.25">
      <c r="A13" s="23" t="s">
        <v>27</v>
      </c>
      <c r="B13" s="24"/>
      <c r="C13" s="24">
        <v>2</v>
      </c>
      <c r="D13" s="24">
        <v>8</v>
      </c>
      <c r="E13" s="24">
        <v>8</v>
      </c>
      <c r="F13" s="24"/>
      <c r="G13" s="24"/>
      <c r="H13" s="24"/>
      <c r="I13" s="24"/>
      <c r="J13" s="24"/>
      <c r="K13" s="24"/>
      <c r="L13" s="24">
        <v>8</v>
      </c>
      <c r="M13" s="24">
        <v>8</v>
      </c>
      <c r="N13" s="24"/>
      <c r="O13" s="24"/>
      <c r="P13" s="25">
        <f t="shared" si="1"/>
        <v>34</v>
      </c>
    </row>
    <row r="14" spans="1:16" ht="20.25" customHeight="1" x14ac:dyDescent="0.25">
      <c r="A14" s="23" t="s">
        <v>54</v>
      </c>
      <c r="B14" s="24"/>
      <c r="C14" s="24"/>
      <c r="D14" s="24"/>
      <c r="E14" s="24"/>
      <c r="F14" s="24">
        <v>1.5</v>
      </c>
      <c r="G14" s="24"/>
      <c r="H14" s="24"/>
      <c r="I14" s="24"/>
      <c r="J14" s="24"/>
      <c r="K14" s="24"/>
      <c r="L14" s="24"/>
      <c r="M14" s="24"/>
      <c r="N14" s="24"/>
      <c r="O14" s="24"/>
      <c r="P14" s="25">
        <f t="shared" si="1"/>
        <v>1.5</v>
      </c>
    </row>
    <row r="15" spans="1:16" ht="20.25" customHeight="1" x14ac:dyDescent="0.25">
      <c r="A15" s="23" t="s">
        <v>18</v>
      </c>
      <c r="B15" s="24"/>
      <c r="C15" s="24"/>
      <c r="D15" s="24"/>
      <c r="E15" s="24"/>
      <c r="F15" s="24"/>
      <c r="G15" s="24"/>
      <c r="H15" s="24"/>
      <c r="I15" s="24"/>
      <c r="J15" s="24"/>
      <c r="K15" s="24">
        <v>1.5</v>
      </c>
      <c r="L15" s="24"/>
      <c r="M15" s="24"/>
      <c r="N15" s="24"/>
      <c r="O15" s="24"/>
      <c r="P15" s="25">
        <f t="shared" si="1"/>
        <v>1.5</v>
      </c>
    </row>
    <row r="16" spans="1:16" ht="20.25" customHeight="1" x14ac:dyDescent="0.2">
      <c r="A16" s="15" t="s">
        <v>38</v>
      </c>
      <c r="B16" s="14">
        <f t="shared" ref="B16:P16" si="2">SUM(B7:B15)</f>
        <v>8</v>
      </c>
      <c r="C16" s="14">
        <f t="shared" si="2"/>
        <v>8</v>
      </c>
      <c r="D16" s="14">
        <f t="shared" si="2"/>
        <v>8</v>
      </c>
      <c r="E16" s="14">
        <f t="shared" si="2"/>
        <v>8</v>
      </c>
      <c r="F16" s="14">
        <f t="shared" si="2"/>
        <v>8</v>
      </c>
      <c r="G16" s="14">
        <f t="shared" si="2"/>
        <v>0</v>
      </c>
      <c r="H16" s="14">
        <f t="shared" si="2"/>
        <v>0</v>
      </c>
      <c r="I16" s="14">
        <f t="shared" si="2"/>
        <v>8</v>
      </c>
      <c r="J16" s="14">
        <f t="shared" si="2"/>
        <v>8</v>
      </c>
      <c r="K16" s="14">
        <f t="shared" si="2"/>
        <v>8</v>
      </c>
      <c r="L16" s="14">
        <f t="shared" si="2"/>
        <v>8</v>
      </c>
      <c r="M16" s="14">
        <f t="shared" si="2"/>
        <v>8</v>
      </c>
      <c r="N16" s="14">
        <f t="shared" si="2"/>
        <v>0</v>
      </c>
      <c r="O16" s="14">
        <f t="shared" si="2"/>
        <v>0</v>
      </c>
      <c r="P16" s="14">
        <f t="shared" si="2"/>
        <v>80</v>
      </c>
    </row>
    <row r="17" spans="1:20" ht="20.25" customHeight="1" x14ac:dyDescent="0.25">
      <c r="A17"/>
      <c r="B17"/>
      <c r="C17"/>
      <c r="D17"/>
      <c r="E17"/>
      <c r="F17"/>
      <c r="G17" s="23" t="s">
        <v>59</v>
      </c>
      <c r="H17" s="14">
        <f>SUM(B16:H16)</f>
        <v>40</v>
      </c>
      <c r="I17"/>
      <c r="J17"/>
      <c r="K17"/>
      <c r="L17"/>
      <c r="M17"/>
      <c r="N17" s="23" t="s">
        <v>60</v>
      </c>
      <c r="O17" s="14">
        <f>SUM(I16:O16)</f>
        <v>40</v>
      </c>
      <c r="P17"/>
      <c r="Q17"/>
      <c r="R17"/>
      <c r="S17"/>
      <c r="T17"/>
    </row>
    <row r="18" spans="1:20" ht="20.25" customHeight="1" x14ac:dyDescent="0.2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20.25" customHeight="1" x14ac:dyDescent="0.2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20.25" customHeight="1" x14ac:dyDescent="0.2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20.25" customHeight="1" x14ac:dyDescent="0.2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</sheetData>
  <sortState ref="A7:P15">
    <sortCondition ref="A7:A15"/>
  </sortState>
  <conditionalFormatting sqref="B16:F16 I16:M16">
    <cfRule type="cellIs" dxfId="38" priority="6" operator="greaterThan">
      <formula>8</formula>
    </cfRule>
    <cfRule type="cellIs" dxfId="37" priority="247" operator="equal">
      <formula>8</formula>
    </cfRule>
  </conditionalFormatting>
  <conditionalFormatting sqref="P7:P15">
    <cfRule type="cellIs" dxfId="36" priority="5" operator="greaterThan">
      <formula>80</formula>
    </cfRule>
  </conditionalFormatting>
  <conditionalFormatting sqref="P16">
    <cfRule type="cellIs" dxfId="35" priority="4" operator="greaterThan">
      <formula>80</formula>
    </cfRule>
    <cfRule type="cellIs" dxfId="34" priority="248" operator="equal">
      <formula>80</formula>
    </cfRule>
  </conditionalFormatting>
  <conditionalFormatting sqref="H17">
    <cfRule type="cellIs" dxfId="33" priority="3" operator="greaterThan">
      <formula>40</formula>
    </cfRule>
    <cfRule type="cellIs" dxfId="32" priority="249" operator="equal">
      <formula>40</formula>
    </cfRule>
  </conditionalFormatting>
  <conditionalFormatting sqref="O17">
    <cfRule type="cellIs" dxfId="31" priority="2" operator="greaterThan">
      <formula>40</formula>
    </cfRule>
    <cfRule type="cellIs" dxfId="30" priority="250" operator="equal">
      <formula>40</formula>
    </cfRule>
  </conditionalFormatting>
  <conditionalFormatting sqref="G16:H16 N16:O16">
    <cfRule type="cellIs" dxfId="29" priority="1" operator="greaterThan">
      <formula>8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457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4577" r:id="rId4" name="btnAddActivity"/>
      </mc:Fallback>
    </mc:AlternateContent>
  </controls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T221"/>
  <sheetViews>
    <sheetView workbookViewId="0">
      <selection activeCell="A11" sqref="A11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23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41211</v>
      </c>
      <c r="C5" s="12">
        <f>B5+1</f>
        <v>41212</v>
      </c>
      <c r="D5" s="12">
        <f t="shared" ref="D5:O5" si="0">C5+1</f>
        <v>41213</v>
      </c>
      <c r="E5" s="12">
        <f t="shared" si="0"/>
        <v>41214</v>
      </c>
      <c r="F5" s="12">
        <f t="shared" si="0"/>
        <v>41215</v>
      </c>
      <c r="G5" s="12">
        <f t="shared" si="0"/>
        <v>41216</v>
      </c>
      <c r="H5" s="12">
        <f t="shared" si="0"/>
        <v>41217</v>
      </c>
      <c r="I5" s="12">
        <f t="shared" si="0"/>
        <v>41218</v>
      </c>
      <c r="J5" s="12">
        <f t="shared" si="0"/>
        <v>41219</v>
      </c>
      <c r="K5" s="12">
        <f t="shared" si="0"/>
        <v>41220</v>
      </c>
      <c r="L5" s="12">
        <f t="shared" si="0"/>
        <v>41221</v>
      </c>
      <c r="M5" s="12">
        <f t="shared" si="0"/>
        <v>41222</v>
      </c>
      <c r="N5" s="12">
        <f t="shared" si="0"/>
        <v>41223</v>
      </c>
      <c r="O5" s="12">
        <f t="shared" si="0"/>
        <v>41224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>
        <v>1.25</v>
      </c>
      <c r="D7" s="24">
        <v>1.25</v>
      </c>
      <c r="E7" s="24"/>
      <c r="F7" s="24">
        <v>1.5</v>
      </c>
      <c r="G7" s="24"/>
      <c r="H7" s="24"/>
      <c r="I7" s="24">
        <v>0.25</v>
      </c>
      <c r="J7" s="24"/>
      <c r="K7" s="24"/>
      <c r="L7" s="24">
        <v>0.5</v>
      </c>
      <c r="M7" s="24">
        <v>1.5</v>
      </c>
      <c r="N7" s="24"/>
      <c r="O7" s="24"/>
      <c r="P7" s="25">
        <f t="shared" ref="P7:P20" si="1">SUM(B7:O7)</f>
        <v>6.25</v>
      </c>
    </row>
    <row r="8" spans="1:16" ht="20.25" customHeight="1" x14ac:dyDescent="0.25">
      <c r="A8" s="23" t="s">
        <v>28</v>
      </c>
      <c r="B8" s="24">
        <v>1</v>
      </c>
      <c r="C8" s="24">
        <v>2.25</v>
      </c>
      <c r="D8" s="24">
        <v>3.25</v>
      </c>
      <c r="E8" s="24">
        <v>2.25</v>
      </c>
      <c r="F8" s="24">
        <v>2</v>
      </c>
      <c r="G8" s="24"/>
      <c r="H8" s="24"/>
      <c r="I8" s="24"/>
      <c r="J8" s="24"/>
      <c r="K8" s="24"/>
      <c r="L8" s="24">
        <v>2.5</v>
      </c>
      <c r="M8" s="24">
        <v>3.75</v>
      </c>
      <c r="N8" s="24"/>
      <c r="O8" s="24"/>
      <c r="P8" s="25">
        <f t="shared" si="1"/>
        <v>17</v>
      </c>
    </row>
    <row r="9" spans="1:16" ht="20.25" customHeight="1" x14ac:dyDescent="0.25">
      <c r="A9" s="23" t="s">
        <v>25</v>
      </c>
      <c r="B9" s="24"/>
      <c r="C9" s="24"/>
      <c r="D9" s="24"/>
      <c r="E9" s="24"/>
      <c r="F9" s="24">
        <v>1.5</v>
      </c>
      <c r="G9" s="24"/>
      <c r="H9" s="24"/>
      <c r="I9" s="24"/>
      <c r="J9" s="24"/>
      <c r="K9" s="24"/>
      <c r="L9" s="24"/>
      <c r="M9" s="24"/>
      <c r="N9" s="24"/>
      <c r="O9" s="24"/>
      <c r="P9" s="25">
        <f t="shared" si="1"/>
        <v>1.5</v>
      </c>
    </row>
    <row r="10" spans="1:16" ht="20.25" customHeight="1" x14ac:dyDescent="0.25">
      <c r="A10" s="23" t="s">
        <v>26</v>
      </c>
      <c r="B10" s="24">
        <v>0.75</v>
      </c>
      <c r="C10" s="24"/>
      <c r="D10" s="24"/>
      <c r="E10" s="24">
        <v>0.75</v>
      </c>
      <c r="F10" s="24"/>
      <c r="G10" s="24"/>
      <c r="H10" s="24"/>
      <c r="I10" s="24"/>
      <c r="J10" s="24"/>
      <c r="K10" s="24"/>
      <c r="L10" s="24"/>
      <c r="M10" s="24"/>
      <c r="N10" s="24"/>
      <c r="O10" s="24"/>
      <c r="P10" s="25">
        <f t="shared" si="1"/>
        <v>1.5</v>
      </c>
    </row>
    <row r="11" spans="1:16" ht="20.25" customHeight="1" x14ac:dyDescent="0.25">
      <c r="A11" s="23" t="s">
        <v>50</v>
      </c>
      <c r="B11" s="24"/>
      <c r="C11" s="24"/>
      <c r="D11" s="24"/>
      <c r="E11" s="24"/>
      <c r="F11" s="24">
        <v>0.75</v>
      </c>
      <c r="G11" s="24"/>
      <c r="H11" s="24"/>
      <c r="I11" s="24"/>
      <c r="J11" s="24"/>
      <c r="K11" s="24"/>
      <c r="L11" s="24"/>
      <c r="M11" s="24"/>
      <c r="N11" s="24"/>
      <c r="O11" s="24"/>
      <c r="P11" s="25">
        <f t="shared" si="1"/>
        <v>0.75</v>
      </c>
    </row>
    <row r="12" spans="1:16" ht="20.25" customHeight="1" x14ac:dyDescent="0.25">
      <c r="A12" s="23" t="s">
        <v>20</v>
      </c>
      <c r="B12" s="24"/>
      <c r="C12" s="24">
        <v>2.5</v>
      </c>
      <c r="D12" s="24">
        <v>1.75</v>
      </c>
      <c r="E12" s="24"/>
      <c r="F12" s="24">
        <v>0.75</v>
      </c>
      <c r="G12" s="24"/>
      <c r="H12" s="24"/>
      <c r="I12" s="24"/>
      <c r="J12" s="24"/>
      <c r="K12" s="24"/>
      <c r="L12" s="24"/>
      <c r="M12" s="24"/>
      <c r="N12" s="24"/>
      <c r="O12" s="24"/>
      <c r="P12" s="25">
        <f t="shared" si="1"/>
        <v>5</v>
      </c>
    </row>
    <row r="13" spans="1:16" ht="20.25" customHeight="1" x14ac:dyDescent="0.25">
      <c r="A13" s="23" t="s">
        <v>21</v>
      </c>
      <c r="B13" s="24"/>
      <c r="C13" s="24"/>
      <c r="D13" s="24"/>
      <c r="E13" s="24"/>
      <c r="F13" s="24"/>
      <c r="G13" s="24"/>
      <c r="H13" s="24"/>
      <c r="I13" s="24">
        <v>4.75</v>
      </c>
      <c r="J13" s="24"/>
      <c r="K13" s="24"/>
      <c r="L13" s="24">
        <v>2.25</v>
      </c>
      <c r="M13" s="24"/>
      <c r="N13" s="24"/>
      <c r="O13" s="24"/>
      <c r="P13" s="25">
        <f t="shared" si="1"/>
        <v>7</v>
      </c>
    </row>
    <row r="14" spans="1:16" ht="20.25" customHeight="1" x14ac:dyDescent="0.25">
      <c r="A14" s="23" t="s">
        <v>19</v>
      </c>
      <c r="B14" s="24">
        <v>1.5</v>
      </c>
      <c r="C14" s="24"/>
      <c r="D14" s="24">
        <v>0.25</v>
      </c>
      <c r="E14" s="24"/>
      <c r="F14" s="24"/>
      <c r="G14" s="24"/>
      <c r="H14" s="24"/>
      <c r="I14" s="24">
        <v>1.25</v>
      </c>
      <c r="J14" s="24"/>
      <c r="K14" s="24"/>
      <c r="L14" s="24"/>
      <c r="M14" s="24"/>
      <c r="N14" s="24"/>
      <c r="O14" s="24"/>
      <c r="P14" s="25">
        <f t="shared" si="1"/>
        <v>3</v>
      </c>
    </row>
    <row r="15" spans="1:16" ht="20.25" customHeight="1" x14ac:dyDescent="0.25">
      <c r="A15" s="23" t="s">
        <v>52</v>
      </c>
      <c r="B15" s="24"/>
      <c r="C15" s="24">
        <v>1</v>
      </c>
      <c r="D15" s="24"/>
      <c r="E15" s="24">
        <v>1.75</v>
      </c>
      <c r="F15" s="24"/>
      <c r="G15" s="24"/>
      <c r="H15" s="24"/>
      <c r="I15" s="24"/>
      <c r="J15" s="24"/>
      <c r="K15" s="24"/>
      <c r="L15" s="24">
        <v>0.75</v>
      </c>
      <c r="M15" s="24">
        <v>2.5</v>
      </c>
      <c r="N15" s="24"/>
      <c r="O15" s="24"/>
      <c r="P15" s="25">
        <f t="shared" si="1"/>
        <v>6</v>
      </c>
    </row>
    <row r="16" spans="1:16" ht="20.25" customHeight="1" x14ac:dyDescent="0.25">
      <c r="A16" s="23" t="s">
        <v>42</v>
      </c>
      <c r="B16" s="24">
        <v>4.75</v>
      </c>
      <c r="C16" s="24"/>
      <c r="D16" s="24"/>
      <c r="E16" s="24">
        <v>2.25</v>
      </c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25">
        <f t="shared" si="1"/>
        <v>7</v>
      </c>
    </row>
    <row r="17" spans="1:20" ht="20.25" customHeight="1" x14ac:dyDescent="0.25">
      <c r="A17" s="23" t="s">
        <v>29</v>
      </c>
      <c r="B17" s="24"/>
      <c r="C17" s="24"/>
      <c r="D17" s="24">
        <v>1.5</v>
      </c>
      <c r="E17" s="24">
        <v>1</v>
      </c>
      <c r="F17" s="24"/>
      <c r="G17" s="24"/>
      <c r="H17" s="24"/>
      <c r="I17" s="24"/>
      <c r="J17" s="24"/>
      <c r="K17" s="24"/>
      <c r="L17" s="24"/>
      <c r="M17" s="24"/>
      <c r="N17" s="24"/>
      <c r="O17" s="24"/>
      <c r="P17" s="25">
        <f t="shared" si="1"/>
        <v>2.5</v>
      </c>
    </row>
    <row r="18" spans="1:20" ht="20.25" customHeight="1" x14ac:dyDescent="0.25">
      <c r="A18" s="23" t="s">
        <v>27</v>
      </c>
      <c r="B18" s="24"/>
      <c r="C18" s="24"/>
      <c r="D18" s="24"/>
      <c r="E18" s="24"/>
      <c r="F18" s="24"/>
      <c r="G18" s="24"/>
      <c r="H18" s="24"/>
      <c r="I18" s="24"/>
      <c r="J18" s="24">
        <v>8</v>
      </c>
      <c r="K18" s="24">
        <v>8</v>
      </c>
      <c r="L18" s="24"/>
      <c r="M18" s="24"/>
      <c r="N18" s="24"/>
      <c r="O18" s="24"/>
      <c r="P18" s="25">
        <f t="shared" si="1"/>
        <v>16</v>
      </c>
    </row>
    <row r="19" spans="1:20" ht="20.25" customHeight="1" x14ac:dyDescent="0.25">
      <c r="A19" s="23" t="s">
        <v>54</v>
      </c>
      <c r="B19" s="24"/>
      <c r="C19" s="24"/>
      <c r="D19" s="24"/>
      <c r="E19" s="24"/>
      <c r="F19" s="24"/>
      <c r="G19" s="24"/>
      <c r="H19" s="24"/>
      <c r="I19" s="24">
        <v>1.75</v>
      </c>
      <c r="J19" s="24"/>
      <c r="K19" s="24"/>
      <c r="L19" s="24">
        <v>2</v>
      </c>
      <c r="M19" s="24"/>
      <c r="N19" s="24"/>
      <c r="O19" s="24"/>
      <c r="P19" s="25">
        <f t="shared" si="1"/>
        <v>3.75</v>
      </c>
    </row>
    <row r="20" spans="1:20" ht="20.25" customHeight="1" x14ac:dyDescent="0.25">
      <c r="A20" s="23" t="s">
        <v>18</v>
      </c>
      <c r="B20" s="24"/>
      <c r="C20" s="24">
        <v>1</v>
      </c>
      <c r="D20" s="24"/>
      <c r="E20" s="24"/>
      <c r="F20" s="24">
        <v>1.5</v>
      </c>
      <c r="G20" s="24"/>
      <c r="H20" s="24"/>
      <c r="I20" s="24"/>
      <c r="J20" s="24"/>
      <c r="K20" s="24"/>
      <c r="L20" s="24"/>
      <c r="M20" s="24">
        <v>0.25</v>
      </c>
      <c r="N20" s="24"/>
      <c r="O20" s="24"/>
      <c r="P20" s="25">
        <f t="shared" si="1"/>
        <v>2.75</v>
      </c>
    </row>
    <row r="21" spans="1:20" ht="20.25" customHeight="1" x14ac:dyDescent="0.2">
      <c r="A21" s="15" t="s">
        <v>38</v>
      </c>
      <c r="B21" s="14">
        <f t="shared" ref="B21:P21" si="2">SUM(B7:B20)</f>
        <v>8</v>
      </c>
      <c r="C21" s="14">
        <f t="shared" si="2"/>
        <v>8</v>
      </c>
      <c r="D21" s="14">
        <f t="shared" si="2"/>
        <v>8</v>
      </c>
      <c r="E21" s="14">
        <f t="shared" si="2"/>
        <v>8</v>
      </c>
      <c r="F21" s="14">
        <f t="shared" si="2"/>
        <v>8</v>
      </c>
      <c r="G21" s="14">
        <f t="shared" si="2"/>
        <v>0</v>
      </c>
      <c r="H21" s="14">
        <f t="shared" si="2"/>
        <v>0</v>
      </c>
      <c r="I21" s="14">
        <f t="shared" si="2"/>
        <v>8</v>
      </c>
      <c r="J21" s="14">
        <f t="shared" si="2"/>
        <v>8</v>
      </c>
      <c r="K21" s="14">
        <f t="shared" si="2"/>
        <v>8</v>
      </c>
      <c r="L21" s="14">
        <f t="shared" si="2"/>
        <v>8</v>
      </c>
      <c r="M21" s="14">
        <f t="shared" si="2"/>
        <v>8</v>
      </c>
      <c r="N21" s="14">
        <f t="shared" si="2"/>
        <v>0</v>
      </c>
      <c r="O21" s="14">
        <f t="shared" si="2"/>
        <v>0</v>
      </c>
      <c r="P21" s="14">
        <f t="shared" si="2"/>
        <v>80</v>
      </c>
    </row>
    <row r="22" spans="1:20" ht="20.25" customHeight="1" x14ac:dyDescent="0.25">
      <c r="A22"/>
      <c r="B22"/>
      <c r="C22"/>
      <c r="D22"/>
      <c r="E22"/>
      <c r="F22"/>
      <c r="G22" s="23" t="s">
        <v>59</v>
      </c>
      <c r="H22" s="14">
        <f>SUM(B21:H21)</f>
        <v>40</v>
      </c>
      <c r="I22"/>
      <c r="J22"/>
      <c r="K22"/>
      <c r="L22"/>
      <c r="M22"/>
      <c r="N22" s="23" t="s">
        <v>60</v>
      </c>
      <c r="O22" s="14">
        <f>SUM(I21:O21)</f>
        <v>40</v>
      </c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  <row r="221" spans="1:20" ht="20.25" customHeight="1" x14ac:dyDescent="0.2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</row>
  </sheetData>
  <sortState ref="A7:P20">
    <sortCondition ref="A7:A20"/>
  </sortState>
  <conditionalFormatting sqref="G21:H21 N21:O21">
    <cfRule type="cellIs" dxfId="28" priority="1" operator="greaterThan">
      <formula>8</formula>
    </cfRule>
  </conditionalFormatting>
  <conditionalFormatting sqref="B21:F21 I21:M21">
    <cfRule type="cellIs" dxfId="27" priority="6" operator="greaterThan">
      <formula>8</formula>
    </cfRule>
    <cfRule type="cellIs" dxfId="26" priority="327" operator="equal">
      <formula>8</formula>
    </cfRule>
  </conditionalFormatting>
  <conditionalFormatting sqref="P7:P20">
    <cfRule type="cellIs" dxfId="25" priority="5" operator="greaterThan">
      <formula>80</formula>
    </cfRule>
  </conditionalFormatting>
  <conditionalFormatting sqref="P21">
    <cfRule type="cellIs" dxfId="24" priority="4" operator="greaterThan">
      <formula>80</formula>
    </cfRule>
    <cfRule type="cellIs" dxfId="23" priority="328" operator="equal">
      <formula>80</formula>
    </cfRule>
  </conditionalFormatting>
  <conditionalFormatting sqref="H22">
    <cfRule type="cellIs" dxfId="22" priority="3" operator="greaterThan">
      <formula>40</formula>
    </cfRule>
    <cfRule type="cellIs" dxfId="21" priority="329" operator="equal">
      <formula>40</formula>
    </cfRule>
  </conditionalFormatting>
  <conditionalFormatting sqref="O22">
    <cfRule type="cellIs" dxfId="20" priority="2" operator="greaterThan">
      <formula>40</formula>
    </cfRule>
    <cfRule type="cellIs" dxfId="19" priority="330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5601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5601" r:id="rId4" name="btnAddActivity"/>
      </mc:Fallback>
    </mc:AlternateContent>
  </controls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T220"/>
  <sheetViews>
    <sheetView workbookViewId="0">
      <selection activeCell="L16" sqref="L16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22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62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41197</v>
      </c>
      <c r="C5" s="12">
        <f>B5+1</f>
        <v>41198</v>
      </c>
      <c r="D5" s="12">
        <f t="shared" ref="D5:O5" si="0">C5+1</f>
        <v>41199</v>
      </c>
      <c r="E5" s="12">
        <f t="shared" si="0"/>
        <v>41200</v>
      </c>
      <c r="F5" s="12">
        <f t="shared" si="0"/>
        <v>41201</v>
      </c>
      <c r="G5" s="12">
        <f t="shared" si="0"/>
        <v>41202</v>
      </c>
      <c r="H5" s="12">
        <f t="shared" si="0"/>
        <v>41203</v>
      </c>
      <c r="I5" s="12">
        <f t="shared" si="0"/>
        <v>41204</v>
      </c>
      <c r="J5" s="12">
        <f t="shared" si="0"/>
        <v>41205</v>
      </c>
      <c r="K5" s="12">
        <f t="shared" si="0"/>
        <v>41206</v>
      </c>
      <c r="L5" s="12">
        <f t="shared" si="0"/>
        <v>41207</v>
      </c>
      <c r="M5" s="12">
        <f t="shared" si="0"/>
        <v>41208</v>
      </c>
      <c r="N5" s="12">
        <f t="shared" si="0"/>
        <v>41209</v>
      </c>
      <c r="O5" s="12">
        <f t="shared" si="0"/>
        <v>41210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23" t="s">
        <v>17</v>
      </c>
      <c r="B7" s="24"/>
      <c r="C7" s="24"/>
      <c r="D7" s="24">
        <v>2</v>
      </c>
      <c r="E7" s="24">
        <v>1</v>
      </c>
      <c r="F7" s="24">
        <v>1.5</v>
      </c>
      <c r="G7" s="24"/>
      <c r="H7" s="24"/>
      <c r="I7" s="24">
        <v>2.5</v>
      </c>
      <c r="J7" s="24">
        <v>0.75</v>
      </c>
      <c r="K7" s="24">
        <v>1</v>
      </c>
      <c r="L7" s="24"/>
      <c r="M7" s="24">
        <v>2.25</v>
      </c>
      <c r="N7" s="24"/>
      <c r="O7" s="24"/>
      <c r="P7" s="25">
        <f t="shared" ref="P7:P19" si="1">SUM(B7:O7)</f>
        <v>11</v>
      </c>
    </row>
    <row r="8" spans="1:16" ht="20.25" customHeight="1" x14ac:dyDescent="0.25">
      <c r="A8" s="23" t="s">
        <v>28</v>
      </c>
      <c r="B8" s="24">
        <v>4.5</v>
      </c>
      <c r="C8" s="24">
        <v>1.25</v>
      </c>
      <c r="D8" s="24">
        <v>2</v>
      </c>
      <c r="E8" s="24">
        <v>3.5</v>
      </c>
      <c r="F8" s="24"/>
      <c r="G8" s="24"/>
      <c r="H8" s="24"/>
      <c r="I8" s="24">
        <v>1</v>
      </c>
      <c r="J8" s="24">
        <v>2.25</v>
      </c>
      <c r="K8" s="24"/>
      <c r="L8" s="24">
        <v>0.75</v>
      </c>
      <c r="M8" s="24">
        <v>1.75</v>
      </c>
      <c r="N8" s="24"/>
      <c r="O8" s="24"/>
      <c r="P8" s="25">
        <f t="shared" si="1"/>
        <v>17</v>
      </c>
    </row>
    <row r="9" spans="1:16" ht="20.25" customHeight="1" x14ac:dyDescent="0.25">
      <c r="A9" s="23" t="s">
        <v>25</v>
      </c>
      <c r="B9" s="24"/>
      <c r="C9" s="24">
        <v>1.25</v>
      </c>
      <c r="D9" s="24"/>
      <c r="E9" s="24">
        <v>1.5</v>
      </c>
      <c r="F9" s="24"/>
      <c r="G9" s="24"/>
      <c r="H9" s="24"/>
      <c r="I9" s="24"/>
      <c r="J9" s="24">
        <v>3.25</v>
      </c>
      <c r="K9" s="24">
        <v>3.75</v>
      </c>
      <c r="L9" s="24"/>
      <c r="M9" s="24"/>
      <c r="N9" s="24"/>
      <c r="O9" s="24"/>
      <c r="P9" s="25">
        <f t="shared" si="1"/>
        <v>9.75</v>
      </c>
    </row>
    <row r="10" spans="1:16" ht="20.25" customHeight="1" x14ac:dyDescent="0.25">
      <c r="A10" s="23" t="s">
        <v>26</v>
      </c>
      <c r="B10" s="24"/>
      <c r="C10" s="24"/>
      <c r="D10" s="24"/>
      <c r="E10" s="24"/>
      <c r="F10" s="24"/>
      <c r="G10" s="24"/>
      <c r="H10" s="24"/>
      <c r="I10" s="24"/>
      <c r="J10" s="24"/>
      <c r="K10" s="24">
        <v>2</v>
      </c>
      <c r="L10" s="24">
        <v>0.75</v>
      </c>
      <c r="M10" s="24"/>
      <c r="N10" s="24"/>
      <c r="O10" s="24"/>
      <c r="P10" s="25">
        <f t="shared" si="1"/>
        <v>2.75</v>
      </c>
    </row>
    <row r="11" spans="1:16" ht="20.25" customHeight="1" x14ac:dyDescent="0.25">
      <c r="A11" s="23" t="s">
        <v>20</v>
      </c>
      <c r="B11" s="24">
        <v>2</v>
      </c>
      <c r="C11" s="24"/>
      <c r="D11" s="24"/>
      <c r="E11" s="24">
        <v>2</v>
      </c>
      <c r="F11" s="24">
        <v>4</v>
      </c>
      <c r="G11" s="24"/>
      <c r="H11" s="24"/>
      <c r="I11" s="24">
        <v>2</v>
      </c>
      <c r="J11" s="24">
        <v>1.75</v>
      </c>
      <c r="K11" s="24"/>
      <c r="L11" s="24"/>
      <c r="M11" s="24">
        <v>1</v>
      </c>
      <c r="N11" s="24"/>
      <c r="O11" s="24"/>
      <c r="P11" s="25">
        <f t="shared" si="1"/>
        <v>12.75</v>
      </c>
    </row>
    <row r="12" spans="1:16" ht="20.25" customHeight="1" x14ac:dyDescent="0.25">
      <c r="A12" s="7" t="s">
        <v>21</v>
      </c>
      <c r="B12" s="21"/>
      <c r="C12" s="21">
        <v>3.5</v>
      </c>
      <c r="D12" s="21"/>
      <c r="E12" s="21"/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5">
        <f t="shared" si="1"/>
        <v>3.5</v>
      </c>
    </row>
    <row r="13" spans="1:16" ht="20.25" customHeight="1" x14ac:dyDescent="0.25">
      <c r="A13" s="23" t="s">
        <v>19</v>
      </c>
      <c r="B13" s="24">
        <v>1.5</v>
      </c>
      <c r="C13" s="24">
        <v>1.25</v>
      </c>
      <c r="D13" s="24">
        <v>1</v>
      </c>
      <c r="E13" s="24"/>
      <c r="F13" s="24">
        <v>1</v>
      </c>
      <c r="G13" s="24"/>
      <c r="H13" s="24"/>
      <c r="I13" s="24"/>
      <c r="J13" s="24"/>
      <c r="K13" s="24"/>
      <c r="L13" s="24"/>
      <c r="M13" s="24"/>
      <c r="N13" s="24"/>
      <c r="O13" s="24"/>
      <c r="P13" s="25">
        <f t="shared" si="1"/>
        <v>4.75</v>
      </c>
    </row>
    <row r="14" spans="1:16" ht="20.25" customHeight="1" x14ac:dyDescent="0.25">
      <c r="A14" s="23" t="s">
        <v>52</v>
      </c>
      <c r="B14" s="24"/>
      <c r="C14" s="24">
        <v>0.5</v>
      </c>
      <c r="D14" s="24"/>
      <c r="E14" s="24"/>
      <c r="F14" s="24">
        <v>1.5</v>
      </c>
      <c r="G14" s="24"/>
      <c r="H14" s="24"/>
      <c r="I14" s="24"/>
      <c r="J14" s="24"/>
      <c r="K14" s="24"/>
      <c r="L14" s="24"/>
      <c r="M14" s="24"/>
      <c r="N14" s="24"/>
      <c r="O14" s="24"/>
      <c r="P14" s="25">
        <f t="shared" si="1"/>
        <v>2</v>
      </c>
    </row>
    <row r="15" spans="1:16" ht="20.25" customHeight="1" x14ac:dyDescent="0.25">
      <c r="A15" s="23" t="s">
        <v>42</v>
      </c>
      <c r="B15" s="24"/>
      <c r="C15" s="24"/>
      <c r="D15" s="24">
        <v>1.5</v>
      </c>
      <c r="E15" s="24"/>
      <c r="F15" s="24"/>
      <c r="G15" s="24"/>
      <c r="H15" s="24"/>
      <c r="I15" s="24"/>
      <c r="J15" s="24"/>
      <c r="K15" s="24"/>
      <c r="L15" s="24">
        <v>5.75</v>
      </c>
      <c r="M15" s="24"/>
      <c r="N15" s="24"/>
      <c r="O15" s="24"/>
      <c r="P15" s="25">
        <f t="shared" si="1"/>
        <v>7.25</v>
      </c>
    </row>
    <row r="16" spans="1:16" ht="20.25" customHeight="1" x14ac:dyDescent="0.25">
      <c r="A16" s="23" t="s">
        <v>27</v>
      </c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>
        <v>3</v>
      </c>
      <c r="N16" s="24"/>
      <c r="O16" s="24"/>
      <c r="P16" s="25">
        <f t="shared" si="1"/>
        <v>3</v>
      </c>
    </row>
    <row r="17" spans="1:20" ht="20.25" customHeight="1" x14ac:dyDescent="0.25">
      <c r="A17" s="23" t="s">
        <v>23</v>
      </c>
      <c r="B17" s="24"/>
      <c r="C17" s="24"/>
      <c r="D17" s="24"/>
      <c r="E17" s="24"/>
      <c r="F17" s="24"/>
      <c r="G17" s="24"/>
      <c r="H17" s="24"/>
      <c r="I17" s="24">
        <v>2.5</v>
      </c>
      <c r="J17" s="24">
        <v>2.5</v>
      </c>
      <c r="K17" s="24"/>
      <c r="L17" s="24"/>
      <c r="M17" s="24"/>
      <c r="N17" s="24"/>
      <c r="O17" s="24"/>
      <c r="P17" s="25">
        <f t="shared" si="1"/>
        <v>5</v>
      </c>
    </row>
    <row r="18" spans="1:20" ht="20.25" customHeight="1" x14ac:dyDescent="0.25">
      <c r="A18" s="23" t="s">
        <v>54</v>
      </c>
      <c r="B18" s="24"/>
      <c r="C18" s="24"/>
      <c r="D18" s="24"/>
      <c r="E18" s="24"/>
      <c r="F18" s="24"/>
      <c r="G18" s="24"/>
      <c r="H18" s="24"/>
      <c r="I18" s="24"/>
      <c r="J18" s="24"/>
      <c r="K18" s="24"/>
      <c r="L18" s="24">
        <v>0.75</v>
      </c>
      <c r="M18" s="24"/>
      <c r="N18" s="24"/>
      <c r="O18" s="24"/>
      <c r="P18" s="25">
        <f t="shared" si="1"/>
        <v>0.75</v>
      </c>
    </row>
    <row r="19" spans="1:20" ht="20.25" customHeight="1" x14ac:dyDescent="0.25">
      <c r="A19" s="23" t="s">
        <v>18</v>
      </c>
      <c r="B19" s="24"/>
      <c r="C19" s="24">
        <v>0.25</v>
      </c>
      <c r="D19" s="24">
        <v>1.5</v>
      </c>
      <c r="E19" s="24"/>
      <c r="F19" s="24"/>
      <c r="G19" s="24"/>
      <c r="H19" s="24"/>
      <c r="I19" s="24"/>
      <c r="J19" s="24"/>
      <c r="K19" s="24">
        <v>1.25</v>
      </c>
      <c r="L19" s="24"/>
      <c r="M19" s="24"/>
      <c r="N19" s="24"/>
      <c r="O19" s="24"/>
      <c r="P19" s="25">
        <f t="shared" si="1"/>
        <v>3</v>
      </c>
    </row>
    <row r="20" spans="1:20" ht="20.25" customHeight="1" x14ac:dyDescent="0.2">
      <c r="A20" s="15" t="s">
        <v>38</v>
      </c>
      <c r="B20" s="14">
        <f t="shared" ref="B20:P20" si="2">SUM(B7:B19)</f>
        <v>8</v>
      </c>
      <c r="C20" s="14">
        <f t="shared" si="2"/>
        <v>8</v>
      </c>
      <c r="D20" s="14">
        <f t="shared" si="2"/>
        <v>8</v>
      </c>
      <c r="E20" s="14">
        <f t="shared" si="2"/>
        <v>8</v>
      </c>
      <c r="F20" s="14">
        <f t="shared" si="2"/>
        <v>8</v>
      </c>
      <c r="G20" s="14">
        <f t="shared" si="2"/>
        <v>0</v>
      </c>
      <c r="H20" s="14">
        <f t="shared" si="2"/>
        <v>0</v>
      </c>
      <c r="I20" s="14">
        <f t="shared" si="2"/>
        <v>8</v>
      </c>
      <c r="J20" s="14">
        <f t="shared" si="2"/>
        <v>10.5</v>
      </c>
      <c r="K20" s="14">
        <f t="shared" si="2"/>
        <v>8</v>
      </c>
      <c r="L20" s="14">
        <f t="shared" si="2"/>
        <v>8</v>
      </c>
      <c r="M20" s="14">
        <f t="shared" si="2"/>
        <v>8</v>
      </c>
      <c r="N20" s="14">
        <f t="shared" si="2"/>
        <v>0</v>
      </c>
      <c r="O20" s="14">
        <f t="shared" si="2"/>
        <v>0</v>
      </c>
      <c r="P20" s="14">
        <f t="shared" si="2"/>
        <v>82.5</v>
      </c>
    </row>
    <row r="21" spans="1:20" ht="20.25" customHeight="1" x14ac:dyDescent="0.25">
      <c r="A21"/>
      <c r="B21"/>
      <c r="C21"/>
      <c r="D21"/>
      <c r="E21"/>
      <c r="F21"/>
      <c r="G21" s="23" t="s">
        <v>59</v>
      </c>
      <c r="H21" s="14">
        <f>SUM(B20:H20)</f>
        <v>40</v>
      </c>
      <c r="I21"/>
      <c r="J21"/>
      <c r="K21"/>
      <c r="L21"/>
      <c r="M21"/>
      <c r="N21" s="23" t="s">
        <v>60</v>
      </c>
      <c r="O21" s="14">
        <f>SUM(I20:O20)</f>
        <v>42.5</v>
      </c>
      <c r="P21"/>
      <c r="Q21"/>
      <c r="R21"/>
      <c r="S21"/>
      <c r="T21"/>
    </row>
    <row r="22" spans="1:20" ht="20.25" customHeight="1" x14ac:dyDescent="0.2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20.25" customHeight="1" x14ac:dyDescent="0.2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20.25" customHeight="1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20.25" customHeight="1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20.25" customHeight="1" x14ac:dyDescent="0.2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20.25" customHeight="1" x14ac:dyDescent="0.2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20.25" customHeight="1" x14ac:dyDescent="0.2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20.25" customHeight="1" x14ac:dyDescent="0.2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20.25" customHeight="1" x14ac:dyDescent="0.2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20.25" customHeight="1" x14ac:dyDescent="0.2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20.25" customHeight="1" x14ac:dyDescent="0.2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20.25" customHeight="1" x14ac:dyDescent="0.2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20.25" customHeight="1" x14ac:dyDescent="0.2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20.25" customHeight="1" x14ac:dyDescent="0.2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20.25" customHeight="1" x14ac:dyDescent="0.2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20.25" customHeight="1" x14ac:dyDescent="0.2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20.25" customHeight="1" x14ac:dyDescent="0.2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20.25" customHeight="1" x14ac:dyDescent="0.2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20.25" customHeight="1" x14ac:dyDescent="0.2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20.25" customHeight="1" x14ac:dyDescent="0.2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20.25" customHeight="1" x14ac:dyDescent="0.2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20.25" customHeight="1" x14ac:dyDescent="0.2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20.25" customHeight="1" x14ac:dyDescent="0.2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</row>
    <row r="45" spans="1:20" ht="20.25" customHeight="1" x14ac:dyDescent="0.2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</row>
    <row r="46" spans="1:20" ht="20.25" customHeight="1" x14ac:dyDescent="0.2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</row>
    <row r="47" spans="1:20" ht="20.25" customHeight="1" x14ac:dyDescent="0.2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</row>
    <row r="48" spans="1:20" ht="20.25" customHeight="1" x14ac:dyDescent="0.2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</row>
    <row r="49" spans="1:20" ht="20.25" customHeight="1" x14ac:dyDescent="0.2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</row>
    <row r="50" spans="1:20" ht="20.25" customHeight="1" x14ac:dyDescent="0.2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</row>
    <row r="51" spans="1:20" ht="20.25" customHeight="1" x14ac:dyDescent="0.2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</row>
    <row r="52" spans="1:20" ht="20.25" customHeight="1" x14ac:dyDescent="0.2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</row>
    <row r="53" spans="1:20" ht="20.25" customHeight="1" x14ac:dyDescent="0.2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</row>
    <row r="54" spans="1:20" ht="20.25" customHeight="1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</row>
    <row r="55" spans="1:20" ht="20.25" customHeight="1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</row>
    <row r="56" spans="1:20" ht="20.25" customHeight="1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</row>
    <row r="57" spans="1:20" ht="20.25" customHeight="1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</row>
    <row r="58" spans="1:20" ht="20.25" customHeight="1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</row>
    <row r="59" spans="1:20" ht="20.25" customHeight="1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</row>
    <row r="60" spans="1:20" ht="20.25" customHeight="1" x14ac:dyDescent="0.2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</row>
    <row r="61" spans="1:20" ht="20.25" customHeight="1" x14ac:dyDescent="0.2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</row>
    <row r="62" spans="1:20" ht="20.25" customHeight="1" x14ac:dyDescent="0.2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</row>
    <row r="63" spans="1:20" ht="20.25" customHeight="1" x14ac:dyDescent="0.2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</row>
    <row r="64" spans="1:20" ht="20.25" customHeight="1" x14ac:dyDescent="0.2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</row>
    <row r="65" spans="1:20" ht="20.25" customHeight="1" x14ac:dyDescent="0.2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</row>
    <row r="66" spans="1:20" ht="20.25" customHeight="1" x14ac:dyDescent="0.2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</row>
    <row r="67" spans="1:20" ht="20.25" customHeight="1" x14ac:dyDescent="0.2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</row>
    <row r="68" spans="1:20" ht="20.25" customHeight="1" x14ac:dyDescent="0.2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</row>
    <row r="69" spans="1:20" ht="20.25" customHeight="1" x14ac:dyDescent="0.2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</row>
    <row r="70" spans="1:20" ht="20.25" customHeight="1" x14ac:dyDescent="0.2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</row>
    <row r="71" spans="1:20" ht="20.25" customHeight="1" x14ac:dyDescent="0.2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</row>
    <row r="72" spans="1:20" ht="20.25" customHeight="1" x14ac:dyDescent="0.2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</row>
    <row r="73" spans="1:20" ht="20.25" customHeight="1" x14ac:dyDescent="0.2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</row>
    <row r="74" spans="1:20" ht="20.25" customHeight="1" x14ac:dyDescent="0.2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</row>
    <row r="75" spans="1:20" ht="20.25" customHeight="1" x14ac:dyDescent="0.2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</row>
    <row r="76" spans="1:20" ht="20.25" customHeight="1" x14ac:dyDescent="0.2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</row>
    <row r="77" spans="1:20" ht="20.25" customHeight="1" x14ac:dyDescent="0.2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</row>
    <row r="78" spans="1:20" ht="20.25" customHeight="1" x14ac:dyDescent="0.2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</row>
    <row r="79" spans="1:20" ht="20.25" customHeight="1" x14ac:dyDescent="0.2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</row>
    <row r="80" spans="1:20" ht="20.25" customHeight="1" x14ac:dyDescent="0.2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</row>
    <row r="81" spans="1:20" ht="20.25" customHeight="1" x14ac:dyDescent="0.2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</row>
    <row r="82" spans="1:20" ht="20.25" customHeight="1" x14ac:dyDescent="0.2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</row>
    <row r="83" spans="1:20" ht="20.25" customHeight="1" x14ac:dyDescent="0.2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</row>
    <row r="84" spans="1:20" ht="20.25" customHeight="1" x14ac:dyDescent="0.2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</row>
    <row r="85" spans="1:20" ht="20.25" customHeight="1" x14ac:dyDescent="0.2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</row>
    <row r="86" spans="1:20" ht="20.25" customHeight="1" x14ac:dyDescent="0.2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</row>
    <row r="87" spans="1:20" ht="20.25" customHeight="1" x14ac:dyDescent="0.2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</row>
    <row r="88" spans="1:20" ht="20.25" customHeight="1" x14ac:dyDescent="0.2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</row>
    <row r="89" spans="1:20" ht="20.25" customHeight="1" x14ac:dyDescent="0.2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</row>
    <row r="90" spans="1:20" ht="20.25" customHeight="1" x14ac:dyDescent="0.2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</row>
    <row r="91" spans="1:20" ht="20.25" customHeight="1" x14ac:dyDescent="0.2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</row>
    <row r="92" spans="1:20" ht="20.25" customHeight="1" x14ac:dyDescent="0.2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</row>
    <row r="93" spans="1:20" ht="20.25" customHeight="1" x14ac:dyDescent="0.2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</row>
    <row r="94" spans="1:20" ht="20.25" customHeight="1" x14ac:dyDescent="0.2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</row>
    <row r="95" spans="1:20" ht="20.25" customHeight="1" x14ac:dyDescent="0.2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</row>
    <row r="96" spans="1:20" ht="20.25" customHeight="1" x14ac:dyDescent="0.2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</row>
    <row r="97" spans="1:20" ht="20.25" customHeight="1" x14ac:dyDescent="0.2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</row>
    <row r="98" spans="1:20" ht="20.25" customHeight="1" x14ac:dyDescent="0.2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</row>
    <row r="99" spans="1:20" ht="20.25" customHeight="1" x14ac:dyDescent="0.2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</row>
    <row r="100" spans="1:20" ht="20.25" customHeight="1" x14ac:dyDescent="0.2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</row>
    <row r="101" spans="1:20" ht="20.25" customHeight="1" x14ac:dyDescent="0.2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</row>
    <row r="102" spans="1:20" ht="20.25" customHeight="1" x14ac:dyDescent="0.2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</row>
    <row r="103" spans="1:20" ht="20.25" customHeight="1" x14ac:dyDescent="0.2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</row>
    <row r="104" spans="1:20" ht="20.25" customHeight="1" x14ac:dyDescent="0.2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</row>
    <row r="105" spans="1:20" ht="20.25" customHeight="1" x14ac:dyDescent="0.2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</row>
    <row r="106" spans="1:20" ht="20.25" customHeight="1" x14ac:dyDescent="0.2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</row>
    <row r="107" spans="1:20" ht="20.25" customHeight="1" x14ac:dyDescent="0.2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</row>
    <row r="108" spans="1:20" ht="20.25" customHeight="1" x14ac:dyDescent="0.2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</row>
    <row r="109" spans="1:20" ht="20.25" customHeight="1" x14ac:dyDescent="0.2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</row>
    <row r="110" spans="1:20" ht="20.25" customHeight="1" x14ac:dyDescent="0.2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</row>
    <row r="111" spans="1:20" ht="20.25" customHeight="1" x14ac:dyDescent="0.2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</row>
    <row r="112" spans="1:20" ht="20.25" customHeight="1" x14ac:dyDescent="0.2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</row>
    <row r="113" spans="1:20" ht="20.25" customHeight="1" x14ac:dyDescent="0.2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</row>
    <row r="114" spans="1:20" ht="20.25" customHeight="1" x14ac:dyDescent="0.2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</row>
    <row r="115" spans="1:20" ht="20.25" customHeight="1" x14ac:dyDescent="0.2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</row>
    <row r="116" spans="1:20" ht="20.25" customHeight="1" x14ac:dyDescent="0.2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</row>
    <row r="117" spans="1:20" ht="20.25" customHeight="1" x14ac:dyDescent="0.2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</row>
    <row r="118" spans="1:20" ht="20.25" customHeight="1" x14ac:dyDescent="0.2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</row>
    <row r="119" spans="1:20" ht="20.25" customHeight="1" x14ac:dyDescent="0.2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</row>
    <row r="120" spans="1:20" ht="20.25" customHeight="1" x14ac:dyDescent="0.2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</row>
    <row r="121" spans="1:20" ht="20.25" customHeight="1" x14ac:dyDescent="0.2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</row>
    <row r="122" spans="1:20" ht="20.25" customHeight="1" x14ac:dyDescent="0.2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</row>
    <row r="123" spans="1:20" ht="20.25" customHeight="1" x14ac:dyDescent="0.2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</row>
    <row r="124" spans="1:20" ht="20.25" customHeight="1" x14ac:dyDescent="0.2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</row>
    <row r="125" spans="1:20" ht="20.25" customHeight="1" x14ac:dyDescent="0.2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</row>
    <row r="126" spans="1:20" ht="20.25" customHeight="1" x14ac:dyDescent="0.2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</row>
    <row r="127" spans="1:20" ht="20.25" customHeight="1" x14ac:dyDescent="0.2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</row>
    <row r="128" spans="1:20" ht="20.25" customHeight="1" x14ac:dyDescent="0.2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</row>
    <row r="129" spans="1:20" ht="20.25" customHeight="1" x14ac:dyDescent="0.2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</row>
    <row r="130" spans="1:20" ht="20.25" customHeight="1" x14ac:dyDescent="0.2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</row>
    <row r="131" spans="1:20" ht="20.25" customHeight="1" x14ac:dyDescent="0.2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</row>
    <row r="132" spans="1:20" ht="20.25" customHeight="1" x14ac:dyDescent="0.2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</row>
    <row r="133" spans="1:20" ht="20.25" customHeight="1" x14ac:dyDescent="0.2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</row>
    <row r="134" spans="1:20" ht="20.25" customHeight="1" x14ac:dyDescent="0.2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</row>
    <row r="135" spans="1:20" ht="20.25" customHeight="1" x14ac:dyDescent="0.2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</row>
    <row r="136" spans="1:20" ht="20.25" customHeight="1" x14ac:dyDescent="0.2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</row>
    <row r="137" spans="1:20" ht="20.25" customHeight="1" x14ac:dyDescent="0.2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</row>
    <row r="138" spans="1:20" ht="20.25" customHeight="1" x14ac:dyDescent="0.2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</row>
    <row r="139" spans="1:20" ht="20.25" customHeight="1" x14ac:dyDescent="0.2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</row>
    <row r="140" spans="1:20" ht="20.25" customHeight="1" x14ac:dyDescent="0.2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</row>
    <row r="141" spans="1:20" ht="20.25" customHeight="1" x14ac:dyDescent="0.2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</row>
    <row r="142" spans="1:20" ht="20.25" customHeight="1" x14ac:dyDescent="0.2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</row>
    <row r="143" spans="1:20" ht="20.25" customHeight="1" x14ac:dyDescent="0.2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</row>
    <row r="144" spans="1:20" ht="20.25" customHeight="1" x14ac:dyDescent="0.2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</row>
    <row r="145" spans="1:20" ht="20.25" customHeight="1" x14ac:dyDescent="0.2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</row>
    <row r="146" spans="1:20" ht="20.25" customHeight="1" x14ac:dyDescent="0.2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</row>
    <row r="147" spans="1:20" ht="20.25" customHeight="1" x14ac:dyDescent="0.2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</row>
    <row r="148" spans="1:20" ht="20.25" customHeight="1" x14ac:dyDescent="0.2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</row>
    <row r="149" spans="1:20" ht="20.25" customHeight="1" x14ac:dyDescent="0.2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</row>
    <row r="150" spans="1:20" ht="20.25" customHeight="1" x14ac:dyDescent="0.2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</row>
    <row r="151" spans="1:20" ht="20.25" customHeight="1" x14ac:dyDescent="0.2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</row>
    <row r="152" spans="1:20" ht="20.25" customHeight="1" x14ac:dyDescent="0.2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</row>
    <row r="153" spans="1:20" ht="20.25" customHeight="1" x14ac:dyDescent="0.2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</row>
    <row r="154" spans="1:20" ht="20.25" customHeight="1" x14ac:dyDescent="0.2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</row>
    <row r="155" spans="1:20" ht="20.25" customHeight="1" x14ac:dyDescent="0.2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</row>
    <row r="156" spans="1:20" ht="20.25" customHeight="1" x14ac:dyDescent="0.2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</row>
    <row r="157" spans="1:20" ht="20.25" customHeight="1" x14ac:dyDescent="0.2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</row>
    <row r="158" spans="1:20" ht="20.25" customHeight="1" x14ac:dyDescent="0.2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</row>
    <row r="159" spans="1:20" ht="20.25" customHeight="1" x14ac:dyDescent="0.2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</row>
    <row r="160" spans="1:20" ht="20.25" customHeight="1" x14ac:dyDescent="0.2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</row>
    <row r="161" spans="1:20" ht="20.25" customHeight="1" x14ac:dyDescent="0.2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</row>
    <row r="162" spans="1:20" ht="20.25" customHeight="1" x14ac:dyDescent="0.2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</row>
    <row r="163" spans="1:20" ht="20.25" customHeight="1" x14ac:dyDescent="0.2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</row>
    <row r="164" spans="1:20" ht="20.25" customHeight="1" x14ac:dyDescent="0.2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</row>
    <row r="165" spans="1:20" ht="20.25" customHeight="1" x14ac:dyDescent="0.2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</row>
    <row r="166" spans="1:20" ht="20.25" customHeight="1" x14ac:dyDescent="0.2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</row>
    <row r="167" spans="1:20" ht="20.25" customHeight="1" x14ac:dyDescent="0.2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</row>
    <row r="168" spans="1:20" ht="20.25" customHeight="1" x14ac:dyDescent="0.2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</row>
    <row r="169" spans="1:20" ht="20.25" customHeight="1" x14ac:dyDescent="0.2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</row>
    <row r="170" spans="1:20" ht="20.25" customHeight="1" x14ac:dyDescent="0.2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</row>
    <row r="171" spans="1:20" ht="20.25" customHeight="1" x14ac:dyDescent="0.2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</row>
    <row r="172" spans="1:20" ht="20.25" customHeight="1" x14ac:dyDescent="0.2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</row>
    <row r="173" spans="1:20" ht="20.25" customHeight="1" x14ac:dyDescent="0.2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</row>
    <row r="174" spans="1:20" ht="20.25" customHeight="1" x14ac:dyDescent="0.2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</row>
    <row r="175" spans="1:20" ht="20.25" customHeight="1" x14ac:dyDescent="0.2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</row>
    <row r="176" spans="1:20" ht="20.25" customHeight="1" x14ac:dyDescent="0.2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</row>
    <row r="177" spans="1:20" ht="20.25" customHeight="1" x14ac:dyDescent="0.2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</row>
    <row r="178" spans="1:20" ht="20.25" customHeight="1" x14ac:dyDescent="0.2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</row>
    <row r="179" spans="1:20" ht="20.25" customHeight="1" x14ac:dyDescent="0.2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</row>
    <row r="180" spans="1:20" ht="20.25" customHeight="1" x14ac:dyDescent="0.2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</row>
    <row r="181" spans="1:20" ht="20.25" customHeight="1" x14ac:dyDescent="0.2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</row>
    <row r="182" spans="1:20" ht="20.25" customHeight="1" x14ac:dyDescent="0.2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</row>
    <row r="183" spans="1:20" ht="20.25" customHeight="1" x14ac:dyDescent="0.2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</row>
    <row r="184" spans="1:20" ht="20.25" customHeight="1" x14ac:dyDescent="0.2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</row>
    <row r="185" spans="1:20" ht="20.25" customHeight="1" x14ac:dyDescent="0.2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</row>
    <row r="186" spans="1:20" ht="20.25" customHeight="1" x14ac:dyDescent="0.2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</row>
    <row r="187" spans="1:20" ht="20.25" customHeight="1" x14ac:dyDescent="0.2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</row>
    <row r="188" spans="1:20" ht="20.25" customHeight="1" x14ac:dyDescent="0.2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</row>
    <row r="189" spans="1:20" ht="20.25" customHeight="1" x14ac:dyDescent="0.2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</row>
    <row r="190" spans="1:20" ht="20.25" customHeight="1" x14ac:dyDescent="0.2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</row>
    <row r="191" spans="1:20" ht="20.25" customHeight="1" x14ac:dyDescent="0.2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</row>
    <row r="192" spans="1:20" ht="20.25" customHeight="1" x14ac:dyDescent="0.2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</row>
    <row r="193" spans="1:20" ht="20.25" customHeight="1" x14ac:dyDescent="0.2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</row>
    <row r="194" spans="1:20" ht="20.25" customHeight="1" x14ac:dyDescent="0.2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</row>
    <row r="195" spans="1:20" ht="20.25" customHeight="1" x14ac:dyDescent="0.2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</row>
    <row r="196" spans="1:20" ht="20.25" customHeight="1" x14ac:dyDescent="0.2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</row>
    <row r="197" spans="1:20" ht="20.25" customHeight="1" x14ac:dyDescent="0.2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</row>
    <row r="198" spans="1:20" ht="20.25" customHeight="1" x14ac:dyDescent="0.2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</row>
    <row r="199" spans="1:20" ht="20.25" customHeight="1" x14ac:dyDescent="0.2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</row>
    <row r="200" spans="1:20" ht="20.25" customHeight="1" x14ac:dyDescent="0.2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</row>
    <row r="201" spans="1:20" ht="20.25" customHeight="1" x14ac:dyDescent="0.2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</row>
    <row r="202" spans="1:20" ht="20.25" customHeight="1" x14ac:dyDescent="0.2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</row>
    <row r="203" spans="1:20" ht="20.25" customHeight="1" x14ac:dyDescent="0.2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</row>
    <row r="204" spans="1:20" ht="20.25" customHeight="1" x14ac:dyDescent="0.2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</row>
    <row r="205" spans="1:20" ht="20.25" customHeight="1" x14ac:dyDescent="0.2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</row>
    <row r="206" spans="1:20" ht="20.25" customHeight="1" x14ac:dyDescent="0.2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</row>
    <row r="207" spans="1:20" ht="20.25" customHeight="1" x14ac:dyDescent="0.2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</row>
    <row r="208" spans="1:20" ht="20.25" customHeight="1" x14ac:dyDescent="0.2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</row>
    <row r="209" spans="1:20" ht="20.25" customHeight="1" x14ac:dyDescent="0.2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</row>
    <row r="210" spans="1:20" ht="20.25" customHeight="1" x14ac:dyDescent="0.2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</row>
    <row r="211" spans="1:20" ht="20.25" customHeight="1" x14ac:dyDescent="0.2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</row>
    <row r="212" spans="1:20" ht="20.25" customHeight="1" x14ac:dyDescent="0.2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</row>
    <row r="213" spans="1:20" ht="20.25" customHeight="1" x14ac:dyDescent="0.2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</row>
    <row r="214" spans="1:20" ht="20.25" customHeight="1" x14ac:dyDescent="0.2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</row>
    <row r="215" spans="1:20" ht="20.25" customHeight="1" x14ac:dyDescent="0.2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</row>
    <row r="216" spans="1:20" ht="20.25" customHeight="1" x14ac:dyDescent="0.2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</row>
    <row r="217" spans="1:20" ht="20.25" customHeight="1" x14ac:dyDescent="0.2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</row>
    <row r="218" spans="1:20" ht="20.25" customHeight="1" x14ac:dyDescent="0.2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</row>
    <row r="219" spans="1:20" ht="20.25" customHeight="1" x14ac:dyDescent="0.2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</row>
    <row r="220" spans="1:20" ht="20.25" customHeight="1" x14ac:dyDescent="0.2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</row>
  </sheetData>
  <sortState ref="A7:P19">
    <sortCondition ref="A7:A19"/>
  </sortState>
  <conditionalFormatting sqref="G20:H20 N20:O20">
    <cfRule type="cellIs" dxfId="18" priority="1" operator="greaterThan">
      <formula>8</formula>
    </cfRule>
  </conditionalFormatting>
  <conditionalFormatting sqref="B20:F20 I20:M20">
    <cfRule type="cellIs" dxfId="17" priority="6" operator="greaterThan">
      <formula>8</formula>
    </cfRule>
    <cfRule type="cellIs" dxfId="16" priority="289" operator="equal">
      <formula>8</formula>
    </cfRule>
  </conditionalFormatting>
  <conditionalFormatting sqref="P7:P19">
    <cfRule type="cellIs" dxfId="15" priority="5" operator="greaterThan">
      <formula>80</formula>
    </cfRule>
  </conditionalFormatting>
  <conditionalFormatting sqref="P20">
    <cfRule type="cellIs" dxfId="14" priority="4" operator="greaterThan">
      <formula>80</formula>
    </cfRule>
    <cfRule type="cellIs" dxfId="13" priority="290" operator="equal">
      <formula>80</formula>
    </cfRule>
  </conditionalFormatting>
  <conditionalFormatting sqref="H21">
    <cfRule type="cellIs" dxfId="12" priority="3" operator="greaterThan">
      <formula>40</formula>
    </cfRule>
    <cfRule type="cellIs" dxfId="11" priority="291" operator="equal">
      <formula>40</formula>
    </cfRule>
  </conditionalFormatting>
  <conditionalFormatting sqref="O21">
    <cfRule type="cellIs" dxfId="10" priority="2" operator="greaterThan">
      <formula>40</formula>
    </cfRule>
    <cfRule type="cellIs" dxfId="9" priority="292" operator="equal">
      <formula>40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6625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6625" r:id="rId4" name="btnAddActivity"/>
      </mc:Fallback>
    </mc:AlternateContent>
  </controls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P19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7.2187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21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41183</v>
      </c>
      <c r="C5" s="12">
        <f>B5+1</f>
        <v>41184</v>
      </c>
      <c r="D5" s="12">
        <f t="shared" ref="D5:O5" si="0">C5+1</f>
        <v>41185</v>
      </c>
      <c r="E5" s="12">
        <f t="shared" si="0"/>
        <v>41186</v>
      </c>
      <c r="F5" s="12">
        <f t="shared" si="0"/>
        <v>41187</v>
      </c>
      <c r="G5" s="12">
        <f t="shared" si="0"/>
        <v>41188</v>
      </c>
      <c r="H5" s="12">
        <f t="shared" si="0"/>
        <v>41189</v>
      </c>
      <c r="I5" s="12">
        <f t="shared" si="0"/>
        <v>41190</v>
      </c>
      <c r="J5" s="12">
        <f t="shared" si="0"/>
        <v>41191</v>
      </c>
      <c r="K5" s="12">
        <f t="shared" si="0"/>
        <v>41192</v>
      </c>
      <c r="L5" s="12">
        <f t="shared" si="0"/>
        <v>41193</v>
      </c>
      <c r="M5" s="12">
        <f t="shared" si="0"/>
        <v>41194</v>
      </c>
      <c r="N5" s="12">
        <f t="shared" si="0"/>
        <v>41195</v>
      </c>
      <c r="O5" s="12">
        <f t="shared" si="0"/>
        <v>41196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1</v>
      </c>
      <c r="C7" s="21">
        <v>2.25</v>
      </c>
      <c r="D7" s="21"/>
      <c r="E7" s="21">
        <v>1</v>
      </c>
      <c r="F7" s="21">
        <v>1.5</v>
      </c>
      <c r="G7" s="21"/>
      <c r="H7" s="21"/>
      <c r="I7" s="21">
        <v>1</v>
      </c>
      <c r="J7" s="21">
        <v>1.5</v>
      </c>
      <c r="K7" s="21">
        <v>0.5</v>
      </c>
      <c r="L7" s="21"/>
      <c r="M7" s="21">
        <v>0.75</v>
      </c>
      <c r="N7" s="21"/>
      <c r="O7" s="21"/>
      <c r="P7" s="5">
        <f t="shared" ref="P7:P18" si="1">SUM(B7:O7)</f>
        <v>9.5</v>
      </c>
    </row>
    <row r="8" spans="1:16" ht="20.25" customHeight="1" x14ac:dyDescent="0.25">
      <c r="A8" s="7" t="s">
        <v>28</v>
      </c>
      <c r="B8" s="21">
        <v>2.5</v>
      </c>
      <c r="C8" s="21">
        <v>3</v>
      </c>
      <c r="D8" s="21">
        <v>2</v>
      </c>
      <c r="E8" s="21">
        <v>2</v>
      </c>
      <c r="F8" s="21">
        <v>3</v>
      </c>
      <c r="G8" s="21"/>
      <c r="H8" s="21"/>
      <c r="I8" s="21">
        <v>2.5</v>
      </c>
      <c r="J8" s="21">
        <v>1.25</v>
      </c>
      <c r="K8" s="21">
        <v>3</v>
      </c>
      <c r="L8" s="21"/>
      <c r="M8" s="21">
        <v>1</v>
      </c>
      <c r="N8" s="21"/>
      <c r="O8" s="21"/>
      <c r="P8" s="5">
        <f t="shared" si="1"/>
        <v>20.25</v>
      </c>
    </row>
    <row r="9" spans="1:16" ht="20.25" customHeight="1" x14ac:dyDescent="0.25">
      <c r="A9" s="7" t="s">
        <v>25</v>
      </c>
      <c r="B9" s="21"/>
      <c r="C9" s="21">
        <v>1.5</v>
      </c>
      <c r="D9" s="21">
        <v>1.5</v>
      </c>
      <c r="E9" s="21"/>
      <c r="F9" s="21"/>
      <c r="G9" s="21"/>
      <c r="H9" s="21"/>
      <c r="I9" s="21"/>
      <c r="J9" s="21"/>
      <c r="K9" s="21"/>
      <c r="L9" s="21">
        <v>1.5</v>
      </c>
      <c r="M9" s="21"/>
      <c r="N9" s="21"/>
      <c r="O9" s="21"/>
      <c r="P9" s="5">
        <f t="shared" si="1"/>
        <v>4.5</v>
      </c>
    </row>
    <row r="10" spans="1:16" ht="20.25" customHeight="1" x14ac:dyDescent="0.25">
      <c r="A10" s="7" t="s">
        <v>26</v>
      </c>
      <c r="B10" s="21"/>
      <c r="C10" s="21"/>
      <c r="D10" s="21"/>
      <c r="E10" s="21"/>
      <c r="F10" s="21"/>
      <c r="G10" s="21"/>
      <c r="H10" s="21"/>
      <c r="I10" s="21">
        <v>1</v>
      </c>
      <c r="J10" s="21">
        <v>1.25</v>
      </c>
      <c r="K10" s="21">
        <v>3</v>
      </c>
      <c r="L10" s="21">
        <v>2</v>
      </c>
      <c r="M10" s="21"/>
      <c r="N10" s="21"/>
      <c r="O10" s="21"/>
      <c r="P10" s="5">
        <f t="shared" si="1"/>
        <v>7.25</v>
      </c>
    </row>
    <row r="11" spans="1:16" ht="20.25" customHeight="1" x14ac:dyDescent="0.25">
      <c r="A11" s="7" t="s">
        <v>50</v>
      </c>
      <c r="B11" s="21">
        <v>1</v>
      </c>
      <c r="C11" s="21"/>
      <c r="D11" s="21"/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1</v>
      </c>
    </row>
    <row r="12" spans="1:16" ht="20.25" customHeight="1" x14ac:dyDescent="0.25">
      <c r="A12" s="7" t="s">
        <v>20</v>
      </c>
      <c r="B12" s="21">
        <v>1.5</v>
      </c>
      <c r="C12" s="21"/>
      <c r="D12" s="21"/>
      <c r="E12" s="21"/>
      <c r="F12" s="21"/>
      <c r="G12" s="21"/>
      <c r="H12" s="21"/>
      <c r="I12" s="21">
        <v>0.75</v>
      </c>
      <c r="J12" s="21">
        <v>2.5</v>
      </c>
      <c r="K12" s="21"/>
      <c r="L12" s="21">
        <v>1.25</v>
      </c>
      <c r="M12" s="21">
        <v>2</v>
      </c>
      <c r="N12" s="21"/>
      <c r="O12" s="21"/>
      <c r="P12" s="5">
        <f t="shared" si="1"/>
        <v>8</v>
      </c>
    </row>
    <row r="13" spans="1:16" ht="20.25" customHeight="1" x14ac:dyDescent="0.25">
      <c r="A13" s="7" t="s">
        <v>19</v>
      </c>
      <c r="B13" s="21">
        <v>2</v>
      </c>
      <c r="C13" s="21"/>
      <c r="D13" s="21"/>
      <c r="E13" s="21"/>
      <c r="F13" s="21"/>
      <c r="G13" s="21"/>
      <c r="H13" s="21"/>
      <c r="I13" s="21">
        <v>2</v>
      </c>
      <c r="J13" s="21">
        <v>0.25</v>
      </c>
      <c r="K13" s="21">
        <v>1.5</v>
      </c>
      <c r="L13" s="21">
        <v>0.75</v>
      </c>
      <c r="M13" s="21">
        <v>0.5</v>
      </c>
      <c r="N13" s="21"/>
      <c r="O13" s="21"/>
      <c r="P13" s="5">
        <f t="shared" si="1"/>
        <v>7</v>
      </c>
    </row>
    <row r="14" spans="1:16" ht="20.25" customHeight="1" x14ac:dyDescent="0.25">
      <c r="A14" s="7" t="s">
        <v>42</v>
      </c>
      <c r="B14" s="21"/>
      <c r="C14" s="21">
        <v>3.5</v>
      </c>
      <c r="D14" s="21"/>
      <c r="E14" s="21"/>
      <c r="F14" s="21"/>
      <c r="G14" s="21"/>
      <c r="H14" s="21">
        <v>4</v>
      </c>
      <c r="I14" s="21"/>
      <c r="J14" s="21"/>
      <c r="K14" s="21"/>
      <c r="L14" s="21">
        <v>2</v>
      </c>
      <c r="M14" s="21"/>
      <c r="N14" s="21"/>
      <c r="O14" s="21"/>
      <c r="P14" s="5">
        <f t="shared" si="1"/>
        <v>9.5</v>
      </c>
    </row>
    <row r="15" spans="1:16" ht="20.25" customHeight="1" x14ac:dyDescent="0.25">
      <c r="A15" s="7" t="s">
        <v>29</v>
      </c>
      <c r="B15" s="21"/>
      <c r="C15" s="21"/>
      <c r="D15" s="21">
        <v>1.5</v>
      </c>
      <c r="E15" s="21"/>
      <c r="F15" s="21">
        <v>1.25</v>
      </c>
      <c r="G15" s="21"/>
      <c r="H15" s="21"/>
      <c r="I15" s="21">
        <v>0.75</v>
      </c>
      <c r="J15" s="21"/>
      <c r="K15" s="21"/>
      <c r="L15" s="21"/>
      <c r="M15" s="21"/>
      <c r="N15" s="21"/>
      <c r="O15" s="21"/>
      <c r="P15" s="5">
        <f t="shared" si="1"/>
        <v>3.5</v>
      </c>
    </row>
    <row r="16" spans="1:16" ht="20.25" customHeight="1" x14ac:dyDescent="0.25">
      <c r="A16" s="7" t="s">
        <v>27</v>
      </c>
      <c r="B16" s="21"/>
      <c r="C16" s="21"/>
      <c r="D16" s="21"/>
      <c r="E16" s="21"/>
      <c r="F16" s="21"/>
      <c r="G16" s="21"/>
      <c r="H16" s="21"/>
      <c r="I16" s="21"/>
      <c r="J16" s="21"/>
      <c r="K16" s="21"/>
      <c r="L16" s="21"/>
      <c r="M16" s="21">
        <v>3.75</v>
      </c>
      <c r="N16" s="21"/>
      <c r="O16" s="21"/>
      <c r="P16" s="5">
        <f t="shared" si="1"/>
        <v>3.75</v>
      </c>
    </row>
    <row r="17" spans="1:16" ht="20.25" customHeight="1" x14ac:dyDescent="0.25">
      <c r="A17" s="7" t="s">
        <v>23</v>
      </c>
      <c r="B17" s="21"/>
      <c r="C17" s="21"/>
      <c r="D17" s="21"/>
      <c r="E17" s="21"/>
      <c r="F17" s="21"/>
      <c r="G17" s="21">
        <v>7.5</v>
      </c>
      <c r="H17" s="21"/>
      <c r="I17" s="21"/>
      <c r="J17" s="21"/>
      <c r="K17" s="21"/>
      <c r="L17" s="21"/>
      <c r="M17" s="21"/>
      <c r="N17" s="21"/>
      <c r="O17" s="21"/>
      <c r="P17" s="5">
        <f t="shared" si="1"/>
        <v>7.5</v>
      </c>
    </row>
    <row r="18" spans="1:16" ht="20.25" customHeight="1" x14ac:dyDescent="0.25">
      <c r="A18" s="7" t="s">
        <v>18</v>
      </c>
      <c r="B18" s="21"/>
      <c r="C18" s="21"/>
      <c r="D18" s="21"/>
      <c r="E18" s="21">
        <v>2.5</v>
      </c>
      <c r="F18" s="21"/>
      <c r="G18" s="21"/>
      <c r="H18" s="21"/>
      <c r="I18" s="21"/>
      <c r="J18" s="21">
        <v>1.25</v>
      </c>
      <c r="K18" s="21"/>
      <c r="L18" s="21">
        <v>0.5</v>
      </c>
      <c r="M18" s="21"/>
      <c r="N18" s="21"/>
      <c r="O18" s="21"/>
      <c r="P18" s="5">
        <f t="shared" si="1"/>
        <v>4.25</v>
      </c>
    </row>
    <row r="19" spans="1:16" ht="20.25" customHeight="1" x14ac:dyDescent="0.2">
      <c r="A19" s="15" t="s">
        <v>38</v>
      </c>
      <c r="B19" s="14">
        <f t="shared" ref="B19:P19" si="2">SUM(B7:B18)</f>
        <v>8</v>
      </c>
      <c r="C19" s="14">
        <f t="shared" si="2"/>
        <v>10.25</v>
      </c>
      <c r="D19" s="14">
        <f t="shared" si="2"/>
        <v>5</v>
      </c>
      <c r="E19" s="14">
        <f t="shared" si="2"/>
        <v>5.5</v>
      </c>
      <c r="F19" s="14">
        <f t="shared" si="2"/>
        <v>5.75</v>
      </c>
      <c r="G19" s="14">
        <f t="shared" si="2"/>
        <v>7.5</v>
      </c>
      <c r="H19" s="14">
        <f t="shared" si="2"/>
        <v>4</v>
      </c>
      <c r="I19" s="14">
        <f t="shared" si="2"/>
        <v>8</v>
      </c>
      <c r="J19" s="14">
        <f t="shared" si="2"/>
        <v>8</v>
      </c>
      <c r="K19" s="14">
        <f t="shared" si="2"/>
        <v>8</v>
      </c>
      <c r="L19" s="14">
        <f t="shared" si="2"/>
        <v>8</v>
      </c>
      <c r="M19" s="14">
        <f t="shared" si="2"/>
        <v>8</v>
      </c>
      <c r="N19" s="14">
        <f t="shared" si="2"/>
        <v>0</v>
      </c>
      <c r="O19" s="14">
        <f t="shared" si="2"/>
        <v>0</v>
      </c>
      <c r="P19" s="14">
        <f t="shared" si="2"/>
        <v>86</v>
      </c>
    </row>
  </sheetData>
  <conditionalFormatting sqref="B19:O19">
    <cfRule type="cellIs" dxfId="8" priority="3" operator="greaterThan">
      <formula>8</formula>
    </cfRule>
  </conditionalFormatting>
  <conditionalFormatting sqref="P7:P18">
    <cfRule type="cellIs" dxfId="7" priority="2" operator="greaterThan">
      <formula>80</formula>
    </cfRule>
  </conditionalFormatting>
  <conditionalFormatting sqref="P19">
    <cfRule type="cellIs" dxfId="6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7649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7649" r:id="rId4" name="btnAddActivity"/>
      </mc:Fallback>
    </mc:AlternateContent>
  </controls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P20"/>
  <sheetViews>
    <sheetView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20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63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41169</v>
      </c>
      <c r="C5" s="12">
        <f>B5+1</f>
        <v>41170</v>
      </c>
      <c r="D5" s="12">
        <f t="shared" ref="D5:O5" si="0">C5+1</f>
        <v>41171</v>
      </c>
      <c r="E5" s="12">
        <f t="shared" si="0"/>
        <v>41172</v>
      </c>
      <c r="F5" s="12">
        <f t="shared" si="0"/>
        <v>41173</v>
      </c>
      <c r="G5" s="12">
        <f t="shared" si="0"/>
        <v>41174</v>
      </c>
      <c r="H5" s="12">
        <f t="shared" si="0"/>
        <v>41175</v>
      </c>
      <c r="I5" s="12">
        <f t="shared" si="0"/>
        <v>41176</v>
      </c>
      <c r="J5" s="12">
        <f t="shared" si="0"/>
        <v>41177</v>
      </c>
      <c r="K5" s="12">
        <f t="shared" si="0"/>
        <v>41178</v>
      </c>
      <c r="L5" s="12">
        <f t="shared" si="0"/>
        <v>41179</v>
      </c>
      <c r="M5" s="12">
        <f t="shared" si="0"/>
        <v>41180</v>
      </c>
      <c r="N5" s="12">
        <f t="shared" si="0"/>
        <v>41181</v>
      </c>
      <c r="O5" s="12">
        <f t="shared" si="0"/>
        <v>41182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>
        <v>1</v>
      </c>
      <c r="C7" s="21">
        <v>0.75</v>
      </c>
      <c r="D7" s="21"/>
      <c r="E7" s="21"/>
      <c r="F7" s="21"/>
      <c r="G7" s="21"/>
      <c r="H7" s="21"/>
      <c r="I7" s="21">
        <v>1</v>
      </c>
      <c r="J7" s="21">
        <v>1</v>
      </c>
      <c r="K7" s="21"/>
      <c r="L7" s="21"/>
      <c r="M7" s="21">
        <v>1</v>
      </c>
      <c r="N7" s="21"/>
      <c r="O7" s="21"/>
      <c r="P7" s="5">
        <f t="shared" ref="P7:P19" si="1">SUM(B7:O7)</f>
        <v>4.75</v>
      </c>
    </row>
    <row r="8" spans="1:16" ht="20.25" customHeight="1" x14ac:dyDescent="0.25">
      <c r="A8" s="7" t="s">
        <v>28</v>
      </c>
      <c r="B8" s="21">
        <v>3</v>
      </c>
      <c r="C8" s="21">
        <v>4.25</v>
      </c>
      <c r="D8" s="21"/>
      <c r="E8" s="21">
        <v>1</v>
      </c>
      <c r="F8" s="21"/>
      <c r="G8" s="21"/>
      <c r="H8" s="21"/>
      <c r="I8" s="21">
        <v>2.25</v>
      </c>
      <c r="J8" s="21">
        <v>1.75</v>
      </c>
      <c r="K8" s="21">
        <v>2</v>
      </c>
      <c r="L8" s="21">
        <v>2</v>
      </c>
      <c r="M8" s="21">
        <v>1</v>
      </c>
      <c r="N8" s="21"/>
      <c r="O8" s="21"/>
      <c r="P8" s="5">
        <f t="shared" si="1"/>
        <v>17.25</v>
      </c>
    </row>
    <row r="9" spans="1:16" ht="20.25" customHeight="1" x14ac:dyDescent="0.25">
      <c r="A9" s="7" t="s">
        <v>25</v>
      </c>
      <c r="B9" s="21"/>
      <c r="C9" s="21"/>
      <c r="D9" s="21"/>
      <c r="E9" s="21"/>
      <c r="F9" s="21"/>
      <c r="G9" s="21"/>
      <c r="H9" s="21"/>
      <c r="I9" s="21"/>
      <c r="J9" s="21">
        <v>1.5</v>
      </c>
      <c r="K9" s="21">
        <v>1.5</v>
      </c>
      <c r="L9" s="21"/>
      <c r="M9" s="21">
        <v>1.25</v>
      </c>
      <c r="N9" s="21"/>
      <c r="O9" s="21"/>
      <c r="P9" s="5">
        <f t="shared" si="1"/>
        <v>4.25</v>
      </c>
    </row>
    <row r="10" spans="1:16" ht="20.25" customHeight="1" x14ac:dyDescent="0.25">
      <c r="A10" s="7" t="s">
        <v>26</v>
      </c>
      <c r="B10" s="21"/>
      <c r="C10" s="21">
        <v>1.5</v>
      </c>
      <c r="D10" s="21"/>
      <c r="E10" s="21">
        <v>0.5</v>
      </c>
      <c r="F10" s="21"/>
      <c r="G10" s="21"/>
      <c r="H10" s="21"/>
      <c r="I10" s="21">
        <v>1.5</v>
      </c>
      <c r="J10" s="21">
        <v>0.5</v>
      </c>
      <c r="K10" s="21">
        <v>2</v>
      </c>
      <c r="L10" s="21">
        <v>2</v>
      </c>
      <c r="M10" s="21"/>
      <c r="N10" s="21"/>
      <c r="O10" s="21"/>
      <c r="P10" s="5">
        <f t="shared" si="1"/>
        <v>8</v>
      </c>
    </row>
    <row r="11" spans="1:16" ht="20.25" customHeight="1" x14ac:dyDescent="0.25">
      <c r="A11" s="7" t="s">
        <v>20</v>
      </c>
      <c r="B11" s="21"/>
      <c r="C11" s="21">
        <v>1</v>
      </c>
      <c r="D11" s="21"/>
      <c r="E11" s="21"/>
      <c r="F11" s="21"/>
      <c r="G11" s="21"/>
      <c r="H11" s="21"/>
      <c r="I11" s="21">
        <v>1.75</v>
      </c>
      <c r="J11" s="21">
        <v>0.75</v>
      </c>
      <c r="K11" s="21"/>
      <c r="L11" s="21"/>
      <c r="M11" s="21">
        <v>2.25</v>
      </c>
      <c r="N11" s="21"/>
      <c r="O11" s="21"/>
      <c r="P11" s="5">
        <f t="shared" si="1"/>
        <v>5.75</v>
      </c>
    </row>
    <row r="12" spans="1:16" ht="20.25" customHeight="1" x14ac:dyDescent="0.25">
      <c r="A12" s="7" t="s">
        <v>21</v>
      </c>
      <c r="B12" s="21"/>
      <c r="C12" s="21"/>
      <c r="D12" s="21"/>
      <c r="E12" s="21">
        <v>2</v>
      </c>
      <c r="F12" s="21"/>
      <c r="G12" s="21"/>
      <c r="H12" s="21"/>
      <c r="I12" s="21"/>
      <c r="J12" s="21"/>
      <c r="K12" s="21">
        <v>1.5</v>
      </c>
      <c r="L12" s="21">
        <v>2.25</v>
      </c>
      <c r="M12" s="21"/>
      <c r="N12" s="21"/>
      <c r="O12" s="21"/>
      <c r="P12" s="5">
        <f t="shared" si="1"/>
        <v>5.75</v>
      </c>
    </row>
    <row r="13" spans="1:16" ht="20.25" customHeight="1" x14ac:dyDescent="0.25">
      <c r="A13" s="7" t="s">
        <v>19</v>
      </c>
      <c r="B13" s="21">
        <v>2</v>
      </c>
      <c r="C13" s="21">
        <v>0.5</v>
      </c>
      <c r="D13" s="21"/>
      <c r="E13" s="21">
        <v>0.5</v>
      </c>
      <c r="F13" s="21"/>
      <c r="G13" s="21"/>
      <c r="H13" s="21"/>
      <c r="I13" s="21">
        <v>1.5</v>
      </c>
      <c r="J13" s="21">
        <v>1.5</v>
      </c>
      <c r="K13" s="21">
        <v>1</v>
      </c>
      <c r="L13" s="21"/>
      <c r="M13" s="21"/>
      <c r="N13" s="21"/>
      <c r="O13" s="21"/>
      <c r="P13" s="5">
        <f t="shared" si="1"/>
        <v>7</v>
      </c>
    </row>
    <row r="14" spans="1:16" ht="20.25" customHeight="1" x14ac:dyDescent="0.25">
      <c r="A14" s="7" t="s">
        <v>52</v>
      </c>
      <c r="B14" s="21"/>
      <c r="C14" s="21"/>
      <c r="D14" s="21"/>
      <c r="E14" s="21"/>
      <c r="F14" s="21"/>
      <c r="G14" s="21"/>
      <c r="H14" s="21"/>
      <c r="I14" s="21"/>
      <c r="J14" s="21"/>
      <c r="K14" s="21"/>
      <c r="L14" s="21">
        <v>1.75</v>
      </c>
      <c r="M14" s="21"/>
      <c r="N14" s="21"/>
      <c r="O14" s="21"/>
      <c r="P14" s="5">
        <f t="shared" si="1"/>
        <v>1.75</v>
      </c>
    </row>
    <row r="15" spans="1:16" ht="20.25" customHeight="1" x14ac:dyDescent="0.25">
      <c r="A15" s="7" t="s">
        <v>42</v>
      </c>
      <c r="B15" s="21"/>
      <c r="C15" s="21"/>
      <c r="D15" s="21"/>
      <c r="E15" s="21"/>
      <c r="F15" s="21"/>
      <c r="G15" s="21"/>
      <c r="H15" s="21"/>
      <c r="I15" s="21"/>
      <c r="J15" s="21"/>
      <c r="K15" s="21"/>
      <c r="L15" s="21"/>
      <c r="M15" s="21">
        <v>2.5</v>
      </c>
      <c r="N15" s="21"/>
      <c r="O15" s="21"/>
      <c r="P15" s="5">
        <f t="shared" si="1"/>
        <v>2.5</v>
      </c>
    </row>
    <row r="16" spans="1:16" ht="20.25" customHeight="1" x14ac:dyDescent="0.25">
      <c r="A16" s="7" t="s">
        <v>29</v>
      </c>
      <c r="B16" s="21"/>
      <c r="C16" s="21"/>
      <c r="D16" s="21"/>
      <c r="E16" s="21">
        <v>1</v>
      </c>
      <c r="F16" s="21"/>
      <c r="G16" s="21"/>
      <c r="H16" s="21"/>
      <c r="I16" s="21"/>
      <c r="J16" s="21">
        <v>1</v>
      </c>
      <c r="K16" s="21"/>
      <c r="L16" s="21"/>
      <c r="M16" s="21"/>
      <c r="N16" s="21"/>
      <c r="O16" s="21"/>
      <c r="P16" s="5">
        <f t="shared" si="1"/>
        <v>2</v>
      </c>
    </row>
    <row r="17" spans="1:16" ht="20.25" customHeight="1" x14ac:dyDescent="0.25">
      <c r="A17" s="7" t="s">
        <v>27</v>
      </c>
      <c r="B17" s="21"/>
      <c r="C17" s="21"/>
      <c r="D17" s="21">
        <v>8</v>
      </c>
      <c r="E17" s="21"/>
      <c r="F17" s="21">
        <v>8</v>
      </c>
      <c r="G17" s="21"/>
      <c r="H17" s="21"/>
      <c r="I17" s="21"/>
      <c r="J17" s="21"/>
      <c r="K17" s="21"/>
      <c r="L17" s="21"/>
      <c r="M17" s="21"/>
      <c r="N17" s="21"/>
      <c r="O17" s="21"/>
      <c r="P17" s="5">
        <f t="shared" si="1"/>
        <v>16</v>
      </c>
    </row>
    <row r="18" spans="1:16" ht="20.25" customHeight="1" x14ac:dyDescent="0.25">
      <c r="A18" s="7" t="s">
        <v>23</v>
      </c>
      <c r="B18" s="21"/>
      <c r="C18" s="21"/>
      <c r="D18" s="21"/>
      <c r="E18" s="21">
        <v>3</v>
      </c>
      <c r="F18" s="21"/>
      <c r="G18" s="21"/>
      <c r="H18" s="21"/>
      <c r="I18" s="21"/>
      <c r="J18" s="21"/>
      <c r="K18" s="21"/>
      <c r="L18" s="21"/>
      <c r="M18" s="21"/>
      <c r="N18" s="21"/>
      <c r="O18" s="21"/>
      <c r="P18" s="5">
        <f t="shared" si="1"/>
        <v>3</v>
      </c>
    </row>
    <row r="19" spans="1:16" ht="20.25" customHeight="1" x14ac:dyDescent="0.25">
      <c r="A19" s="7" t="s">
        <v>58</v>
      </c>
      <c r="B19" s="21"/>
      <c r="C19" s="21"/>
      <c r="D19" s="21"/>
      <c r="E19" s="21">
        <v>2</v>
      </c>
      <c r="F19" s="21"/>
      <c r="G19" s="21"/>
      <c r="H19" s="21"/>
      <c r="I19" s="21"/>
      <c r="J19" s="21"/>
      <c r="K19" s="21"/>
      <c r="L19" s="21"/>
      <c r="M19" s="21"/>
      <c r="N19" s="21"/>
      <c r="O19" s="21"/>
      <c r="P19" s="5">
        <f t="shared" si="1"/>
        <v>2</v>
      </c>
    </row>
    <row r="20" spans="1:16" ht="20.25" customHeight="1" x14ac:dyDescent="0.2">
      <c r="A20" s="15" t="s">
        <v>38</v>
      </c>
      <c r="B20" s="14">
        <f t="shared" ref="B20:P20" si="2">SUM(B7:B19)</f>
        <v>6</v>
      </c>
      <c r="C20" s="14">
        <f t="shared" si="2"/>
        <v>8</v>
      </c>
      <c r="D20" s="14">
        <f t="shared" si="2"/>
        <v>8</v>
      </c>
      <c r="E20" s="14">
        <f t="shared" si="2"/>
        <v>10</v>
      </c>
      <c r="F20" s="14">
        <f t="shared" si="2"/>
        <v>8</v>
      </c>
      <c r="G20" s="14">
        <f t="shared" si="2"/>
        <v>0</v>
      </c>
      <c r="H20" s="14">
        <f t="shared" si="2"/>
        <v>0</v>
      </c>
      <c r="I20" s="14">
        <f t="shared" si="2"/>
        <v>8</v>
      </c>
      <c r="J20" s="14">
        <f t="shared" si="2"/>
        <v>8</v>
      </c>
      <c r="K20" s="14">
        <f t="shared" si="2"/>
        <v>8</v>
      </c>
      <c r="L20" s="14">
        <f t="shared" si="2"/>
        <v>8</v>
      </c>
      <c r="M20" s="14">
        <f t="shared" si="2"/>
        <v>8</v>
      </c>
      <c r="N20" s="14">
        <f t="shared" si="2"/>
        <v>0</v>
      </c>
      <c r="O20" s="14">
        <f t="shared" si="2"/>
        <v>0</v>
      </c>
      <c r="P20" s="14">
        <f t="shared" si="2"/>
        <v>80</v>
      </c>
    </row>
  </sheetData>
  <conditionalFormatting sqref="B20:O20">
    <cfRule type="cellIs" dxfId="5" priority="3" operator="greaterThan">
      <formula>8</formula>
    </cfRule>
  </conditionalFormatting>
  <conditionalFormatting sqref="P7:P19">
    <cfRule type="cellIs" dxfId="4" priority="2" operator="greaterThan">
      <formula>80</formula>
    </cfRule>
  </conditionalFormatting>
  <conditionalFormatting sqref="P20">
    <cfRule type="cellIs" dxfId="3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8673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8673" r:id="rId4" name="btnAddActivity"/>
      </mc:Fallback>
    </mc:AlternateContent>
  </controls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17"/>
  <sheetViews>
    <sheetView zoomScaleNormal="100" workbookViewId="0">
      <selection activeCell="A5" sqref="A5"/>
    </sheetView>
  </sheetViews>
  <sheetFormatPr defaultRowHeight="20.25" customHeight="1" x14ac:dyDescent="0.2"/>
  <cols>
    <col min="1" max="1" width="44.77734375" style="3" customWidth="1"/>
    <col min="2" max="16" width="7.5546875" style="3" customWidth="1"/>
    <col min="17" max="17" width="5.33203125" style="3" customWidth="1"/>
    <col min="18" max="18" width="8.88671875" style="3"/>
    <col min="19" max="19" width="7.77734375" style="3" customWidth="1"/>
    <col min="20" max="16384" width="8.88671875" style="3"/>
  </cols>
  <sheetData>
    <row r="1" spans="1:16" ht="20.25" customHeight="1" x14ac:dyDescent="0.25">
      <c r="A1" s="7" t="s">
        <v>40</v>
      </c>
      <c r="B1" s="16">
        <v>2013</v>
      </c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</row>
    <row r="2" spans="1:16" ht="20.25" customHeight="1" x14ac:dyDescent="0.25">
      <c r="A2" s="7" t="s">
        <v>15</v>
      </c>
      <c r="B2" s="17">
        <v>19</v>
      </c>
      <c r="C2" s="8"/>
      <c r="D2" s="11"/>
      <c r="E2" s="4"/>
      <c r="F2" s="4"/>
      <c r="G2" s="4"/>
      <c r="H2" s="4"/>
      <c r="I2" s="4"/>
      <c r="J2" s="4"/>
      <c r="K2" s="4"/>
      <c r="L2" s="4"/>
      <c r="M2" s="4"/>
      <c r="N2" s="4"/>
      <c r="O2" s="4"/>
    </row>
    <row r="3" spans="1:16" ht="20.25" customHeight="1" x14ac:dyDescent="0.25">
      <c r="A3" s="7" t="s">
        <v>39</v>
      </c>
      <c r="B3" s="18" t="s">
        <v>64</v>
      </c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</row>
    <row r="4" spans="1:16" ht="20.25" customHeight="1" x14ac:dyDescent="0.25">
      <c r="A4" s="7"/>
      <c r="B4" s="10"/>
      <c r="C4" s="4"/>
      <c r="D4" s="4"/>
      <c r="E4" s="4"/>
      <c r="F4" s="4"/>
      <c r="G4" s="4"/>
      <c r="H4" s="4"/>
      <c r="I4" s="4"/>
      <c r="J4" s="4"/>
      <c r="K4" s="4"/>
      <c r="L4" s="4"/>
      <c r="M4" s="4"/>
      <c r="N4" s="4"/>
      <c r="O4" s="4"/>
    </row>
    <row r="5" spans="1:16" ht="20.25" customHeight="1" x14ac:dyDescent="0.25">
      <c r="A5" s="7"/>
      <c r="B5" s="12">
        <v>41155</v>
      </c>
      <c r="C5" s="12">
        <f>B5+1</f>
        <v>41156</v>
      </c>
      <c r="D5" s="12">
        <f t="shared" ref="D5:O5" si="0">C5+1</f>
        <v>41157</v>
      </c>
      <c r="E5" s="12">
        <f t="shared" si="0"/>
        <v>41158</v>
      </c>
      <c r="F5" s="12">
        <f t="shared" si="0"/>
        <v>41159</v>
      </c>
      <c r="G5" s="12">
        <f t="shared" si="0"/>
        <v>41160</v>
      </c>
      <c r="H5" s="12">
        <f t="shared" si="0"/>
        <v>41161</v>
      </c>
      <c r="I5" s="12">
        <f t="shared" si="0"/>
        <v>41162</v>
      </c>
      <c r="J5" s="12">
        <f t="shared" si="0"/>
        <v>41163</v>
      </c>
      <c r="K5" s="12">
        <f t="shared" si="0"/>
        <v>41164</v>
      </c>
      <c r="L5" s="12">
        <f t="shared" si="0"/>
        <v>41165</v>
      </c>
      <c r="M5" s="12">
        <f t="shared" si="0"/>
        <v>41166</v>
      </c>
      <c r="N5" s="12">
        <f t="shared" si="0"/>
        <v>41167</v>
      </c>
      <c r="O5" s="12">
        <f t="shared" si="0"/>
        <v>41168</v>
      </c>
    </row>
    <row r="6" spans="1:16" ht="20.25" customHeight="1" x14ac:dyDescent="0.25">
      <c r="A6" s="5" t="s">
        <v>0</v>
      </c>
      <c r="B6" s="19" t="s">
        <v>1</v>
      </c>
      <c r="C6" s="19" t="s">
        <v>2</v>
      </c>
      <c r="D6" s="19" t="s">
        <v>3</v>
      </c>
      <c r="E6" s="19" t="s">
        <v>4</v>
      </c>
      <c r="F6" s="19" t="s">
        <v>5</v>
      </c>
      <c r="G6" s="19" t="s">
        <v>6</v>
      </c>
      <c r="H6" s="19" t="s">
        <v>7</v>
      </c>
      <c r="I6" s="20" t="s">
        <v>1</v>
      </c>
      <c r="J6" s="20" t="s">
        <v>2</v>
      </c>
      <c r="K6" s="20" t="s">
        <v>3</v>
      </c>
      <c r="L6" s="20" t="s">
        <v>4</v>
      </c>
      <c r="M6" s="20" t="s">
        <v>5</v>
      </c>
      <c r="N6" s="20" t="s">
        <v>6</v>
      </c>
      <c r="O6" s="20" t="s">
        <v>7</v>
      </c>
      <c r="P6" s="5" t="s">
        <v>8</v>
      </c>
    </row>
    <row r="7" spans="1:16" ht="20.25" customHeight="1" x14ac:dyDescent="0.25">
      <c r="A7" s="7" t="s">
        <v>17</v>
      </c>
      <c r="B7" s="21"/>
      <c r="C7" s="21"/>
      <c r="D7" s="21">
        <v>0.75</v>
      </c>
      <c r="E7" s="21">
        <v>1</v>
      </c>
      <c r="F7" s="21">
        <v>3</v>
      </c>
      <c r="G7" s="21"/>
      <c r="H7" s="21"/>
      <c r="I7" s="21"/>
      <c r="J7" s="21"/>
      <c r="K7" s="21">
        <v>1</v>
      </c>
      <c r="L7" s="21">
        <v>1</v>
      </c>
      <c r="M7" s="21">
        <v>1.5</v>
      </c>
      <c r="N7" s="21"/>
      <c r="O7" s="21"/>
      <c r="P7" s="5">
        <f t="shared" ref="P7:P16" si="1">SUM(B7:O7)</f>
        <v>8.25</v>
      </c>
    </row>
    <row r="8" spans="1:16" ht="20.25" customHeight="1" x14ac:dyDescent="0.25">
      <c r="A8" s="7" t="s">
        <v>28</v>
      </c>
      <c r="B8" s="21"/>
      <c r="C8" s="21"/>
      <c r="D8" s="21">
        <v>2</v>
      </c>
      <c r="E8" s="21">
        <v>4</v>
      </c>
      <c r="F8" s="21">
        <v>4</v>
      </c>
      <c r="G8" s="21"/>
      <c r="H8" s="21"/>
      <c r="I8" s="21"/>
      <c r="J8" s="21"/>
      <c r="K8" s="21">
        <v>2</v>
      </c>
      <c r="L8" s="21">
        <v>5</v>
      </c>
      <c r="M8" s="21">
        <v>4.5</v>
      </c>
      <c r="N8" s="21"/>
      <c r="O8" s="21"/>
      <c r="P8" s="5">
        <f t="shared" si="1"/>
        <v>21.5</v>
      </c>
    </row>
    <row r="9" spans="1:16" ht="20.25" customHeight="1" x14ac:dyDescent="0.25">
      <c r="A9" s="7" t="s">
        <v>25</v>
      </c>
      <c r="B9" s="21"/>
      <c r="C9" s="21"/>
      <c r="D9" s="21">
        <v>2</v>
      </c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5">
        <f t="shared" si="1"/>
        <v>2</v>
      </c>
    </row>
    <row r="10" spans="1:16" ht="20.25" customHeight="1" x14ac:dyDescent="0.25">
      <c r="A10" s="7" t="s">
        <v>26</v>
      </c>
      <c r="B10" s="21"/>
      <c r="C10" s="21"/>
      <c r="D10" s="21">
        <v>1</v>
      </c>
      <c r="E10" s="21"/>
      <c r="F10" s="21"/>
      <c r="G10" s="21"/>
      <c r="H10" s="21"/>
      <c r="I10" s="21"/>
      <c r="J10" s="21"/>
      <c r="K10" s="21"/>
      <c r="L10" s="21">
        <v>1</v>
      </c>
      <c r="M10" s="21"/>
      <c r="N10" s="21"/>
      <c r="O10" s="21"/>
      <c r="P10" s="5">
        <f t="shared" si="1"/>
        <v>2</v>
      </c>
    </row>
    <row r="11" spans="1:16" ht="20.25" customHeight="1" x14ac:dyDescent="0.25">
      <c r="A11" s="7" t="s">
        <v>20</v>
      </c>
      <c r="B11" s="21"/>
      <c r="C11" s="21"/>
      <c r="D11" s="21">
        <v>1.5</v>
      </c>
      <c r="E11" s="21"/>
      <c r="F11" s="21"/>
      <c r="G11" s="21"/>
      <c r="H11" s="21"/>
      <c r="I11" s="21"/>
      <c r="J11" s="21"/>
      <c r="K11" s="21"/>
      <c r="L11" s="21"/>
      <c r="M11" s="21"/>
      <c r="N11" s="21"/>
      <c r="O11" s="21"/>
      <c r="P11" s="5">
        <f t="shared" si="1"/>
        <v>1.5</v>
      </c>
    </row>
    <row r="12" spans="1:16" ht="20.25" customHeight="1" x14ac:dyDescent="0.25">
      <c r="A12" s="7" t="s">
        <v>21</v>
      </c>
      <c r="B12" s="21"/>
      <c r="C12" s="21"/>
      <c r="D12" s="21"/>
      <c r="E12" s="21">
        <v>2</v>
      </c>
      <c r="F12" s="21"/>
      <c r="G12" s="21"/>
      <c r="H12" s="21"/>
      <c r="I12" s="21"/>
      <c r="J12" s="21"/>
      <c r="K12" s="21"/>
      <c r="L12" s="21"/>
      <c r="M12" s="21"/>
      <c r="N12" s="21"/>
      <c r="O12" s="21"/>
      <c r="P12" s="5">
        <f t="shared" si="1"/>
        <v>2</v>
      </c>
    </row>
    <row r="13" spans="1:16" ht="20.25" customHeight="1" x14ac:dyDescent="0.25">
      <c r="A13" s="7" t="s">
        <v>19</v>
      </c>
      <c r="B13" s="21"/>
      <c r="C13" s="21"/>
      <c r="D13" s="21">
        <v>0.75</v>
      </c>
      <c r="E13" s="21">
        <v>1</v>
      </c>
      <c r="F13" s="21">
        <v>1</v>
      </c>
      <c r="G13" s="21"/>
      <c r="H13" s="21"/>
      <c r="I13" s="21"/>
      <c r="J13" s="21"/>
      <c r="K13" s="21"/>
      <c r="L13" s="21">
        <v>1</v>
      </c>
      <c r="M13" s="21"/>
      <c r="N13" s="21"/>
      <c r="O13" s="21"/>
      <c r="P13" s="5">
        <f t="shared" si="1"/>
        <v>3.75</v>
      </c>
    </row>
    <row r="14" spans="1:16" ht="20.25" customHeight="1" x14ac:dyDescent="0.25">
      <c r="A14" s="7" t="s">
        <v>29</v>
      </c>
      <c r="B14" s="21"/>
      <c r="C14" s="21"/>
      <c r="D14" s="21"/>
      <c r="E14" s="21"/>
      <c r="F14" s="21"/>
      <c r="G14" s="21"/>
      <c r="H14" s="21"/>
      <c r="I14" s="21"/>
      <c r="J14" s="21"/>
      <c r="K14" s="21">
        <v>1</v>
      </c>
      <c r="L14" s="21"/>
      <c r="M14" s="21">
        <v>2</v>
      </c>
      <c r="N14" s="21"/>
      <c r="O14" s="21"/>
      <c r="P14" s="5">
        <f t="shared" si="1"/>
        <v>3</v>
      </c>
    </row>
    <row r="15" spans="1:16" ht="20.25" customHeight="1" x14ac:dyDescent="0.25">
      <c r="A15" s="7" t="s">
        <v>27</v>
      </c>
      <c r="B15" s="21">
        <v>8</v>
      </c>
      <c r="C15" s="21"/>
      <c r="D15" s="21"/>
      <c r="E15" s="21"/>
      <c r="F15" s="21"/>
      <c r="G15" s="21"/>
      <c r="H15" s="21"/>
      <c r="I15" s="21"/>
      <c r="J15" s="21"/>
      <c r="K15" s="21">
        <v>4</v>
      </c>
      <c r="L15" s="21"/>
      <c r="M15" s="21"/>
      <c r="N15" s="21"/>
      <c r="O15" s="21"/>
      <c r="P15" s="5">
        <f t="shared" si="1"/>
        <v>12</v>
      </c>
    </row>
    <row r="16" spans="1:16" ht="20.25" customHeight="1" x14ac:dyDescent="0.25">
      <c r="A16" s="7" t="s">
        <v>22</v>
      </c>
      <c r="B16" s="21"/>
      <c r="C16" s="21">
        <v>8</v>
      </c>
      <c r="D16" s="21"/>
      <c r="E16" s="21"/>
      <c r="F16" s="21"/>
      <c r="G16" s="21"/>
      <c r="H16" s="21"/>
      <c r="I16" s="21">
        <v>8</v>
      </c>
      <c r="J16" s="21">
        <v>8</v>
      </c>
      <c r="K16" s="21"/>
      <c r="L16" s="21"/>
      <c r="M16" s="21"/>
      <c r="N16" s="21"/>
      <c r="O16" s="21"/>
      <c r="P16" s="5">
        <f t="shared" si="1"/>
        <v>24</v>
      </c>
    </row>
    <row r="17" spans="1:16" ht="20.25" customHeight="1" x14ac:dyDescent="0.2">
      <c r="A17" s="15" t="s">
        <v>38</v>
      </c>
      <c r="B17" s="14">
        <f t="shared" ref="B17:P17" si="2">SUM(B7:B16)</f>
        <v>8</v>
      </c>
      <c r="C17" s="14">
        <f t="shared" si="2"/>
        <v>8</v>
      </c>
      <c r="D17" s="14">
        <f t="shared" si="2"/>
        <v>8</v>
      </c>
      <c r="E17" s="14">
        <f t="shared" si="2"/>
        <v>8</v>
      </c>
      <c r="F17" s="14">
        <f t="shared" si="2"/>
        <v>8</v>
      </c>
      <c r="G17" s="14">
        <f t="shared" si="2"/>
        <v>0</v>
      </c>
      <c r="H17" s="14">
        <f t="shared" si="2"/>
        <v>0</v>
      </c>
      <c r="I17" s="14">
        <f t="shared" si="2"/>
        <v>8</v>
      </c>
      <c r="J17" s="14">
        <f t="shared" si="2"/>
        <v>8</v>
      </c>
      <c r="K17" s="14">
        <f t="shared" si="2"/>
        <v>8</v>
      </c>
      <c r="L17" s="14">
        <f t="shared" si="2"/>
        <v>8</v>
      </c>
      <c r="M17" s="14">
        <f t="shared" si="2"/>
        <v>8</v>
      </c>
      <c r="N17" s="14">
        <f t="shared" si="2"/>
        <v>0</v>
      </c>
      <c r="O17" s="14">
        <f t="shared" si="2"/>
        <v>0</v>
      </c>
      <c r="P17" s="14">
        <f t="shared" si="2"/>
        <v>80</v>
      </c>
    </row>
  </sheetData>
  <dataConsolidate/>
  <conditionalFormatting sqref="B17:O17">
    <cfRule type="cellIs" dxfId="2" priority="3" operator="greaterThan">
      <formula>8</formula>
    </cfRule>
  </conditionalFormatting>
  <conditionalFormatting sqref="P7:P16">
    <cfRule type="cellIs" dxfId="1" priority="2" operator="greaterThan">
      <formula>80</formula>
    </cfRule>
  </conditionalFormatting>
  <conditionalFormatting sqref="P17">
    <cfRule type="cellIs" dxfId="0" priority="1" operator="greaterThan">
      <formula>80</formula>
    </cfRule>
  </conditionalFormatting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29697" r:id="rId4" name="btnAddActivity">
          <controlPr autoLine="0" r:id="rId5">
            <anchor moveWithCells="1">
              <from>
                <xdr:col>0</xdr:col>
                <xdr:colOff>123825</xdr:colOff>
                <xdr:row>0</xdr:row>
                <xdr:rowOff>76200</xdr:rowOff>
              </from>
              <to>
                <xdr:col>0</xdr:col>
                <xdr:colOff>1914525</xdr:colOff>
                <xdr:row>2</xdr:row>
                <xdr:rowOff>171450</xdr:rowOff>
              </to>
            </anchor>
          </controlPr>
        </control>
      </mc:Choice>
      <mc:Fallback>
        <control shapeId="29697" r:id="rId4" name="btnAddActivity"/>
      </mc:Fallback>
    </mc:AlternateContent>
  </controls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2"/>
  <sheetViews>
    <sheetView view="pageLayout" zoomScaleNormal="100" workbookViewId="0">
      <selection activeCell="B1" sqref="B1"/>
    </sheetView>
  </sheetViews>
  <sheetFormatPr defaultRowHeight="15" x14ac:dyDescent="0.2"/>
  <sheetData>
    <row r="1" spans="1:1" x14ac:dyDescent="0.2">
      <c r="A1" s="22" t="s">
        <v>56</v>
      </c>
    </row>
    <row r="2" spans="1:1" x14ac:dyDescent="0.2">
      <c r="A2" s="22" t="s">
        <v>57</v>
      </c>
    </row>
  </sheetData>
  <pageMargins left="0.25" right="0.25" top="0.75" bottom="0.75" header="0.3" footer="0.3"/>
  <pageSetup orientation="landscape" horizontalDpi="300" verticalDpi="300" r:id="rId1"/>
  <headerFooter>
    <oddHeader>&amp;CMonthly Activity Report</oddHeader>
    <oddFooter xml:space="preserve">&amp;CGenerated 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30</vt:i4>
      </vt:variant>
    </vt:vector>
  </HeadingPairs>
  <TitlesOfParts>
    <vt:vector size="30" baseType="lpstr">
      <vt:lpstr>MAIN</vt:lpstr>
      <vt:lpstr>FY14-20</vt:lpstr>
      <vt:lpstr>FY14-19</vt:lpstr>
      <vt:lpstr>FY14-18</vt:lpstr>
      <vt:lpstr>FY13-17</vt:lpstr>
      <vt:lpstr>FY13-16</vt:lpstr>
      <vt:lpstr>FY13-15</vt:lpstr>
      <vt:lpstr>FY13-14</vt:lpstr>
      <vt:lpstr>FY13-13</vt:lpstr>
      <vt:lpstr>FY13-12</vt:lpstr>
      <vt:lpstr>FY13-11</vt:lpstr>
      <vt:lpstr>FY13-10</vt:lpstr>
      <vt:lpstr>FY13-09</vt:lpstr>
      <vt:lpstr>FY13-08</vt:lpstr>
      <vt:lpstr>FY13-07</vt:lpstr>
      <vt:lpstr>FY13-06</vt:lpstr>
      <vt:lpstr>FY13-05</vt:lpstr>
      <vt:lpstr>FY13-04</vt:lpstr>
      <vt:lpstr>FY13-03</vt:lpstr>
      <vt:lpstr>FY13-02</vt:lpstr>
      <vt:lpstr>FY13-01</vt:lpstr>
      <vt:lpstr>Refs</vt:lpstr>
      <vt:lpstr>FY13-26</vt:lpstr>
      <vt:lpstr>FY13-25</vt:lpstr>
      <vt:lpstr>FY13-24</vt:lpstr>
      <vt:lpstr>FY13-23</vt:lpstr>
      <vt:lpstr>FY13-22</vt:lpstr>
      <vt:lpstr>FY13-21</vt:lpstr>
      <vt:lpstr>FY13-20</vt:lpstr>
      <vt:lpstr>FY13-19</vt:lpstr>
    </vt:vector>
  </TitlesOfParts>
  <Company>Collin County Government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Jake Bathman</dc:creator>
  <cp:lastModifiedBy>Jake Bathman</cp:lastModifiedBy>
  <dcterms:created xsi:type="dcterms:W3CDTF">2012-08-13T20:34:43Z</dcterms:created>
  <dcterms:modified xsi:type="dcterms:W3CDTF">2013-10-07T19:07:39Z</dcterms:modified>
</cp:coreProperties>
</file>