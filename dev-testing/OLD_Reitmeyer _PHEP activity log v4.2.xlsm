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2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24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2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2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2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2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770" yWindow="735" windowWidth="21930" windowHeight="8295" tabRatio="791"/>
  </bookViews>
  <sheets>
    <sheet name="MAIN" sheetId="3" r:id="rId1"/>
    <sheet name="FY14-19" sheetId="31" r:id="rId2"/>
    <sheet name="FY14-18" sheetId="30" r:id="rId3"/>
    <sheet name="FY13-17" sheetId="29" r:id="rId4"/>
    <sheet name="FY13-16" sheetId="28" r:id="rId5"/>
    <sheet name="FY13-15" sheetId="27" r:id="rId6"/>
    <sheet name="FY13-14" sheetId="26" r:id="rId7"/>
    <sheet name="FY13-13" sheetId="24" r:id="rId8"/>
    <sheet name="FY13-12" sheetId="23" r:id="rId9"/>
    <sheet name="FY13-11" sheetId="22" r:id="rId10"/>
    <sheet name="FY13-10" sheetId="21" r:id="rId11"/>
    <sheet name="FY13-09" sheetId="20" r:id="rId12"/>
    <sheet name="FY13-08" sheetId="19" r:id="rId13"/>
    <sheet name="FY13-07" sheetId="18" r:id="rId14"/>
    <sheet name="FY13-06" sheetId="17" r:id="rId15"/>
    <sheet name="FY13-05" sheetId="16" r:id="rId16"/>
    <sheet name="FY13-04" sheetId="15" r:id="rId17"/>
    <sheet name="FY13-03" sheetId="14" r:id="rId18"/>
    <sheet name="FY13-02" sheetId="13" r:id="rId19"/>
    <sheet name="FY13-01" sheetId="12" r:id="rId20"/>
    <sheet name="FY13-26" sheetId="11" r:id="rId21"/>
    <sheet name="FY13-25" sheetId="10" r:id="rId22"/>
    <sheet name="FY13-24" sheetId="9" r:id="rId23"/>
    <sheet name="FY13-23" sheetId="8" r:id="rId24"/>
    <sheet name="FY13-22" sheetId="7" r:id="rId25"/>
    <sheet name="FY13-21" sheetId="6" r:id="rId26"/>
    <sheet name="FY13-20" sheetId="5" r:id="rId27"/>
    <sheet name="FY13-19" sheetId="1" r:id="rId28"/>
    <sheet name="Refs" sheetId="2" state="veryHidden" r:id="rId29"/>
    <sheet name="templatesheet" sheetId="4" state="veryHidden" r:id="rId30"/>
  </sheets>
  <functionGroups builtInGroupCount="17"/>
  <calcPr calcId="14562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H23" i="31" l="1"/>
  <c r="P21" i="31"/>
  <c r="P20" i="31"/>
  <c r="P19" i="31"/>
  <c r="P18" i="31"/>
  <c r="P17" i="31"/>
  <c r="P16" i="31"/>
  <c r="P15" i="31"/>
  <c r="P14" i="31"/>
  <c r="P13" i="31"/>
  <c r="P12" i="31"/>
  <c r="P11" i="31"/>
  <c r="P10" i="31"/>
  <c r="P9" i="31"/>
  <c r="P8" i="31"/>
  <c r="P7" i="31"/>
  <c r="O22" i="31"/>
  <c r="N22" i="31"/>
  <c r="M22" i="31"/>
  <c r="L22" i="31"/>
  <c r="K22" i="31"/>
  <c r="J22" i="31"/>
  <c r="I22" i="31"/>
  <c r="O23" i="31" s="1"/>
  <c r="H22" i="31"/>
  <c r="G22" i="31"/>
  <c r="F22" i="31"/>
  <c r="E22" i="31"/>
  <c r="D22" i="31"/>
  <c r="C22" i="31"/>
  <c r="B22" i="31"/>
  <c r="P22" i="31" l="1"/>
  <c r="H22" i="30" l="1"/>
  <c r="P20" i="30"/>
  <c r="P19" i="30"/>
  <c r="P18" i="30"/>
  <c r="P17" i="30"/>
  <c r="P16" i="30"/>
  <c r="P15" i="30"/>
  <c r="P14" i="30"/>
  <c r="P13" i="30"/>
  <c r="P12" i="30"/>
  <c r="P11" i="30"/>
  <c r="P10" i="30"/>
  <c r="P9" i="30"/>
  <c r="P8" i="30"/>
  <c r="P7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2" i="30" l="1"/>
  <c r="P21" i="30"/>
  <c r="P18" i="29" l="1"/>
  <c r="P17" i="29"/>
  <c r="P16" i="29"/>
  <c r="P15" i="29"/>
  <c r="P14" i="29"/>
  <c r="P13" i="29"/>
  <c r="P12" i="29"/>
  <c r="P11" i="29"/>
  <c r="P10" i="29"/>
  <c r="P9" i="29"/>
  <c r="P8" i="29"/>
  <c r="P7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20" i="29" l="1"/>
  <c r="P19" i="29"/>
  <c r="H20" i="29"/>
  <c r="P17" i="28" l="1"/>
  <c r="P16" i="28"/>
  <c r="P15" i="28"/>
  <c r="P14" i="28"/>
  <c r="P13" i="28"/>
  <c r="P12" i="28"/>
  <c r="P11" i="28"/>
  <c r="P10" i="28"/>
  <c r="P9" i="28"/>
  <c r="P8" i="28"/>
  <c r="P7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9" i="28" l="1"/>
  <c r="H19" i="28"/>
  <c r="P18" i="28"/>
  <c r="O19" i="27" l="1"/>
  <c r="H19" i="27"/>
  <c r="P17" i="27"/>
  <c r="P16" i="27"/>
  <c r="P15" i="27"/>
  <c r="P14" i="27"/>
  <c r="P13" i="27"/>
  <c r="P12" i="27"/>
  <c r="P11" i="27"/>
  <c r="P10" i="27"/>
  <c r="P9" i="27"/>
  <c r="P8" i="27"/>
  <c r="P7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P18" i="27" l="1"/>
  <c r="H22" i="26" l="1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2" i="26" l="1"/>
  <c r="P21" i="26"/>
  <c r="H19" i="24" l="1"/>
  <c r="P17" i="24"/>
  <c r="P16" i="24"/>
  <c r="P15" i="24"/>
  <c r="P14" i="24"/>
  <c r="P13" i="24"/>
  <c r="P12" i="24"/>
  <c r="P11" i="24"/>
  <c r="P10" i="24"/>
  <c r="P9" i="24"/>
  <c r="P8" i="24"/>
  <c r="P7" i="24"/>
  <c r="O18" i="24"/>
  <c r="N18" i="24"/>
  <c r="O19" i="24" s="1"/>
  <c r="M18" i="24"/>
  <c r="L18" i="24"/>
  <c r="K18" i="24"/>
  <c r="J18" i="24"/>
  <c r="I18" i="24"/>
  <c r="H18" i="24"/>
  <c r="G18" i="24"/>
  <c r="F18" i="24"/>
  <c r="E18" i="24"/>
  <c r="D18" i="24"/>
  <c r="C18" i="24"/>
  <c r="B18" i="24"/>
  <c r="P18" i="24" l="1"/>
  <c r="P13" i="23" l="1"/>
  <c r="P12" i="23"/>
  <c r="P11" i="23"/>
  <c r="P10" i="23"/>
  <c r="P9" i="23"/>
  <c r="P8" i="23"/>
  <c r="P7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O15" i="23" l="1"/>
  <c r="H15" i="23"/>
  <c r="P14" i="23"/>
  <c r="H20" i="22" l="1"/>
  <c r="P18" i="22"/>
  <c r="P17" i="22"/>
  <c r="P16" i="22"/>
  <c r="P15" i="22"/>
  <c r="P14" i="22"/>
  <c r="P13" i="22"/>
  <c r="P12" i="22"/>
  <c r="P11" i="22"/>
  <c r="P10" i="22"/>
  <c r="P9" i="22"/>
  <c r="P8" i="22"/>
  <c r="P7" i="22"/>
  <c r="O19" i="22"/>
  <c r="N19" i="22"/>
  <c r="M19" i="22"/>
  <c r="O20" i="22" s="1"/>
  <c r="L19" i="22"/>
  <c r="K19" i="22"/>
  <c r="J19" i="22"/>
  <c r="I19" i="22"/>
  <c r="H19" i="22"/>
  <c r="G19" i="22"/>
  <c r="F19" i="22"/>
  <c r="E19" i="22"/>
  <c r="D19" i="22"/>
  <c r="C19" i="22"/>
  <c r="B19" i="22"/>
  <c r="P19" i="22" l="1"/>
  <c r="O20" i="21" l="1"/>
  <c r="H20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B19" i="21"/>
  <c r="P19" i="21" l="1"/>
  <c r="O23" i="20" l="1"/>
  <c r="H23" i="20"/>
  <c r="P21" i="20"/>
  <c r="P20" i="20"/>
  <c r="P19" i="20"/>
  <c r="P18" i="20"/>
  <c r="P17" i="20"/>
  <c r="P16" i="20"/>
  <c r="P15" i="20"/>
  <c r="P14" i="20"/>
  <c r="P13" i="20"/>
  <c r="P12" i="20"/>
  <c r="P11" i="20"/>
  <c r="P10" i="20"/>
  <c r="P9" i="20"/>
  <c r="P8" i="20"/>
  <c r="P7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C22" i="20"/>
  <c r="B22" i="20"/>
  <c r="P22" i="20" l="1"/>
  <c r="H18" i="19" l="1"/>
  <c r="P16" i="19"/>
  <c r="P15" i="19"/>
  <c r="P14" i="19"/>
  <c r="P13" i="19"/>
  <c r="P12" i="19"/>
  <c r="P11" i="19"/>
  <c r="P10" i="19"/>
  <c r="P9" i="19"/>
  <c r="P8" i="19"/>
  <c r="P7" i="19"/>
  <c r="O17" i="19"/>
  <c r="N17" i="19"/>
  <c r="M17" i="19"/>
  <c r="L17" i="19"/>
  <c r="O18" i="19" s="1"/>
  <c r="K17" i="19"/>
  <c r="J17" i="19"/>
  <c r="I17" i="19"/>
  <c r="H17" i="19"/>
  <c r="G17" i="19"/>
  <c r="F17" i="19"/>
  <c r="E17" i="19"/>
  <c r="D17" i="19"/>
  <c r="C17" i="19"/>
  <c r="B17" i="19"/>
  <c r="P17" i="19" l="1"/>
  <c r="H21" i="18" l="1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O21" i="18" l="1"/>
  <c r="P20" i="18"/>
  <c r="P18" i="17" l="1"/>
  <c r="P17" i="17"/>
  <c r="P16" i="17"/>
  <c r="P15" i="17"/>
  <c r="P14" i="17"/>
  <c r="P13" i="17"/>
  <c r="P12" i="17"/>
  <c r="P11" i="17"/>
  <c r="P10" i="17"/>
  <c r="P9" i="17"/>
  <c r="P8" i="17"/>
  <c r="P7" i="17"/>
  <c r="O19" i="17"/>
  <c r="N19" i="17"/>
  <c r="M19" i="17"/>
  <c r="L19" i="17"/>
  <c r="K19" i="17"/>
  <c r="J19" i="17"/>
  <c r="I19" i="17"/>
  <c r="O20" i="17" s="1"/>
  <c r="H19" i="17"/>
  <c r="G19" i="17"/>
  <c r="F19" i="17"/>
  <c r="H20" i="17" s="1"/>
  <c r="E19" i="17"/>
  <c r="D19" i="17"/>
  <c r="C19" i="17"/>
  <c r="B19" i="17"/>
  <c r="P19" i="17" l="1"/>
  <c r="H22" i="16" l="1"/>
  <c r="P20" i="16"/>
  <c r="P19" i="16"/>
  <c r="P18" i="16"/>
  <c r="P17" i="16"/>
  <c r="P16" i="16"/>
  <c r="P15" i="16"/>
  <c r="P14" i="16"/>
  <c r="P13" i="16"/>
  <c r="P12" i="16"/>
  <c r="P11" i="16"/>
  <c r="P10" i="16"/>
  <c r="P9" i="16"/>
  <c r="P8" i="16"/>
  <c r="P7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O22" i="16" l="1"/>
  <c r="P21" i="16"/>
  <c r="H23" i="15" l="1"/>
  <c r="P21" i="15"/>
  <c r="P20" i="15"/>
  <c r="P19" i="15"/>
  <c r="P18" i="15"/>
  <c r="P17" i="15"/>
  <c r="P16" i="15"/>
  <c r="P15" i="15"/>
  <c r="P14" i="15"/>
  <c r="P13" i="15"/>
  <c r="P12" i="15"/>
  <c r="P11" i="15"/>
  <c r="P10" i="15"/>
  <c r="P9" i="15"/>
  <c r="P8" i="15"/>
  <c r="P7" i="15"/>
  <c r="O22" i="15"/>
  <c r="N22" i="15"/>
  <c r="M22" i="15"/>
  <c r="O23" i="15" s="1"/>
  <c r="L22" i="15"/>
  <c r="K22" i="15"/>
  <c r="J22" i="15"/>
  <c r="I22" i="15"/>
  <c r="H22" i="15"/>
  <c r="G22" i="15"/>
  <c r="F22" i="15"/>
  <c r="E22" i="15"/>
  <c r="D22" i="15"/>
  <c r="C22" i="15"/>
  <c r="B22" i="15"/>
  <c r="P22" i="15" l="1"/>
  <c r="H22" i="14" l="1"/>
  <c r="P20" i="14"/>
  <c r="P19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O21" i="14"/>
  <c r="N21" i="14"/>
  <c r="M21" i="14"/>
  <c r="O22" i="14" s="1"/>
  <c r="L21" i="14"/>
  <c r="K21" i="14"/>
  <c r="J21" i="14"/>
  <c r="I21" i="14"/>
  <c r="H21" i="14"/>
  <c r="G21" i="14"/>
  <c r="F21" i="14"/>
  <c r="E21" i="14"/>
  <c r="D21" i="14"/>
  <c r="C21" i="14"/>
  <c r="B21" i="14"/>
  <c r="P21" i="14" l="1"/>
  <c r="H21" i="13" l="1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O20" i="13"/>
  <c r="N20" i="13"/>
  <c r="O21" i="13" s="1"/>
  <c r="M20" i="13"/>
  <c r="L20" i="13"/>
  <c r="K20" i="13"/>
  <c r="J20" i="13"/>
  <c r="I20" i="13"/>
  <c r="H20" i="13"/>
  <c r="G20" i="13"/>
  <c r="F20" i="13"/>
  <c r="E20" i="13"/>
  <c r="D20" i="13"/>
  <c r="C20" i="13"/>
  <c r="B20" i="13"/>
  <c r="P20" i="13" l="1"/>
  <c r="H15" i="12" l="1"/>
  <c r="P13" i="12"/>
  <c r="P12" i="12"/>
  <c r="P11" i="12"/>
  <c r="P10" i="12"/>
  <c r="P9" i="12"/>
  <c r="P8" i="12"/>
  <c r="P7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O15" i="12" l="1"/>
  <c r="P14" i="12"/>
  <c r="P19" i="11" l="1"/>
  <c r="P18" i="11"/>
  <c r="P17" i="11"/>
  <c r="P16" i="11"/>
  <c r="P15" i="11"/>
  <c r="P14" i="11"/>
  <c r="P13" i="11"/>
  <c r="P12" i="11"/>
  <c r="P11" i="11"/>
  <c r="P10" i="11"/>
  <c r="P9" i="11"/>
  <c r="P8" i="11"/>
  <c r="P7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P20" i="11" l="1"/>
  <c r="P19" i="10" l="1"/>
  <c r="P18" i="10"/>
  <c r="P17" i="10"/>
  <c r="P16" i="10"/>
  <c r="P15" i="10"/>
  <c r="P14" i="10"/>
  <c r="P13" i="10"/>
  <c r="P12" i="10"/>
  <c r="P11" i="10"/>
  <c r="P10" i="10"/>
  <c r="P9" i="10"/>
  <c r="P8" i="10"/>
  <c r="P7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P20" i="10" l="1"/>
  <c r="P19" i="9" l="1"/>
  <c r="P18" i="9"/>
  <c r="P17" i="9"/>
  <c r="P16" i="9"/>
  <c r="P15" i="9"/>
  <c r="P14" i="9"/>
  <c r="P13" i="9"/>
  <c r="P12" i="9"/>
  <c r="P11" i="9"/>
  <c r="P10" i="9"/>
  <c r="P9" i="9"/>
  <c r="P8" i="9"/>
  <c r="P7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P20" i="9" l="1"/>
  <c r="P17" i="8" l="1"/>
  <c r="P16" i="8"/>
  <c r="P15" i="8"/>
  <c r="P14" i="8"/>
  <c r="P13" i="8"/>
  <c r="P12" i="8"/>
  <c r="P11" i="8"/>
  <c r="P10" i="8"/>
  <c r="P9" i="8"/>
  <c r="P8" i="8"/>
  <c r="P7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P18" i="8" l="1"/>
  <c r="P20" i="7" l="1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P21" i="7" l="1"/>
  <c r="P20" i="6" l="1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P21" i="6" l="1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P20" i="5" l="1"/>
  <c r="P16" i="1" l="1"/>
  <c r="P15" i="1"/>
  <c r="P14" i="1"/>
  <c r="P13" i="1"/>
  <c r="P12" i="1"/>
  <c r="P11" i="1"/>
  <c r="P10" i="1"/>
  <c r="P9" i="1"/>
  <c r="P8" i="1"/>
  <c r="P7" i="1"/>
  <c r="O17" i="1"/>
  <c r="N17" i="1"/>
  <c r="M17" i="1"/>
  <c r="K17" i="1"/>
  <c r="J17" i="1"/>
  <c r="I17" i="1"/>
  <c r="H17" i="1"/>
  <c r="G17" i="1"/>
  <c r="F17" i="1"/>
  <c r="E17" i="1"/>
  <c r="D17" i="1"/>
  <c r="C17" i="1"/>
  <c r="B17" i="1"/>
  <c r="P17" i="1" l="1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H2" i="2" l="1"/>
  <c r="D3" i="2"/>
  <c r="E3" i="2" s="1"/>
  <c r="F2" i="2"/>
  <c r="J3" i="2" l="1"/>
  <c r="K2" i="2"/>
  <c r="J2" i="2"/>
  <c r="K3" i="2"/>
  <c r="F3" i="2"/>
  <c r="D4" i="2"/>
  <c r="H3" i="2"/>
  <c r="E4" i="2" l="1"/>
  <c r="D5" i="2" l="1"/>
  <c r="K4" i="2"/>
  <c r="F4" i="2"/>
  <c r="H4" i="2"/>
  <c r="J4" i="2" l="1"/>
  <c r="E5" i="2"/>
  <c r="J5" i="2" l="1"/>
  <c r="D6" i="2"/>
  <c r="K5" i="2"/>
  <c r="F5" i="2"/>
  <c r="H5" i="2"/>
  <c r="E6" i="2" l="1"/>
  <c r="H6" i="2" s="1"/>
  <c r="D7" i="2" l="1"/>
  <c r="K6" i="2"/>
  <c r="F6" i="2"/>
  <c r="J6" i="2" l="1"/>
  <c r="E7" i="2"/>
  <c r="J7" i="2" l="1"/>
  <c r="D8" i="2"/>
  <c r="K7" i="2"/>
  <c r="F7" i="2"/>
  <c r="H7" i="2"/>
  <c r="E8" i="2" l="1"/>
  <c r="H8" i="2" l="1"/>
  <c r="D9" i="2"/>
  <c r="K8" i="2"/>
  <c r="F8" i="2"/>
  <c r="J8" i="2" l="1"/>
  <c r="E9" i="2"/>
  <c r="J9" i="2" l="1"/>
  <c r="D10" i="2"/>
  <c r="K9" i="2"/>
  <c r="F9" i="2"/>
  <c r="H9" i="2"/>
  <c r="E10" i="2" l="1"/>
  <c r="H10" i="2" s="1"/>
  <c r="J10" i="2" l="1"/>
  <c r="D11" i="2"/>
  <c r="K10" i="2"/>
  <c r="F10" i="2"/>
  <c r="E11" i="2" l="1"/>
  <c r="D12" i="2" l="1"/>
  <c r="K11" i="2"/>
  <c r="F11" i="2"/>
  <c r="H11" i="2"/>
  <c r="J11" i="2" l="1"/>
  <c r="E12" i="2"/>
  <c r="H12" i="2" l="1"/>
  <c r="J12" i="2"/>
  <c r="D13" i="2"/>
  <c r="K12" i="2"/>
  <c r="F12" i="2"/>
  <c r="E13" i="2" l="1"/>
  <c r="H13" i="2" s="1"/>
  <c r="D14" i="2" l="1"/>
  <c r="K13" i="2"/>
  <c r="F13" i="2"/>
  <c r="J13" i="2" l="1"/>
  <c r="E14" i="2"/>
  <c r="H14" i="2" l="1"/>
  <c r="J14" i="2"/>
  <c r="D15" i="2"/>
  <c r="K14" i="2"/>
  <c r="F14" i="2"/>
  <c r="E15" i="2" l="1"/>
  <c r="H15" i="2" l="1"/>
  <c r="D16" i="2"/>
  <c r="K15" i="2"/>
  <c r="F15" i="2"/>
  <c r="J15" i="2" l="1"/>
  <c r="E16" i="2"/>
  <c r="H16" i="2" l="1"/>
  <c r="J16" i="2"/>
  <c r="D17" i="2"/>
  <c r="F16" i="2"/>
  <c r="K16" i="2"/>
  <c r="E17" i="2" l="1"/>
  <c r="H17" i="2" l="1"/>
  <c r="D18" i="2"/>
  <c r="K17" i="2"/>
  <c r="F17" i="2"/>
  <c r="J17" i="2" l="1"/>
  <c r="E18" i="2"/>
  <c r="H18" i="2" l="1"/>
  <c r="J18" i="2"/>
  <c r="D19" i="2"/>
  <c r="K18" i="2"/>
  <c r="F18" i="2"/>
  <c r="E19" i="2" l="1"/>
  <c r="H19" i="2" l="1"/>
  <c r="D20" i="2"/>
  <c r="K19" i="2"/>
  <c r="F19" i="2"/>
  <c r="J19" i="2" l="1"/>
  <c r="E20" i="2"/>
  <c r="J20" i="2" l="1"/>
  <c r="D21" i="2"/>
  <c r="K20" i="2"/>
  <c r="F20" i="2"/>
  <c r="H20" i="2"/>
  <c r="E21" i="2" l="1"/>
  <c r="H21" i="2" l="1"/>
  <c r="J21" i="2"/>
  <c r="D22" i="2"/>
  <c r="K21" i="2"/>
  <c r="F21" i="2"/>
  <c r="E22" i="2" l="1"/>
  <c r="H22" i="2" s="1"/>
  <c r="D23" i="2" l="1"/>
  <c r="K22" i="2"/>
  <c r="F22" i="2"/>
  <c r="J22" i="2" l="1"/>
  <c r="E23" i="2"/>
  <c r="J23" i="2" l="1"/>
  <c r="D24" i="2"/>
  <c r="K23" i="2"/>
  <c r="F23" i="2"/>
  <c r="H23" i="2"/>
  <c r="E24" i="2" l="1"/>
  <c r="D25" i="2" l="1"/>
  <c r="K24" i="2"/>
  <c r="F24" i="2"/>
  <c r="H24" i="2"/>
  <c r="J24" i="2" l="1"/>
  <c r="E25" i="2"/>
  <c r="J25" i="2" l="1"/>
  <c r="D26" i="2"/>
  <c r="K25" i="2"/>
  <c r="F25" i="2"/>
  <c r="H25" i="2"/>
  <c r="E26" i="2" l="1"/>
  <c r="D27" i="2" l="1"/>
  <c r="K26" i="2"/>
  <c r="F26" i="2"/>
  <c r="H26" i="2"/>
  <c r="B5" i="10" l="1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J26" i="2"/>
  <c r="E27" i="2"/>
  <c r="H27" i="2" l="1"/>
  <c r="J27" i="2"/>
  <c r="K27" i="2"/>
  <c r="F27" i="2"/>
  <c r="D28" i="2"/>
  <c r="B3" i="11" l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E28" i="2"/>
  <c r="H28" i="2" l="1"/>
  <c r="F28" i="2"/>
  <c r="D29" i="2"/>
  <c r="K28" i="2"/>
  <c r="B3" i="12" l="1"/>
  <c r="B5" i="12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J28" i="2"/>
  <c r="E29" i="2"/>
  <c r="H29" i="2" l="1"/>
  <c r="J29" i="2"/>
  <c r="K29" i="2"/>
  <c r="D30" i="2"/>
  <c r="F29" i="2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E30" i="2"/>
  <c r="H30" i="2" l="1"/>
  <c r="K30" i="2"/>
  <c r="F30" i="2"/>
  <c r="D31" i="2"/>
  <c r="B3" i="14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J30" i="2"/>
  <c r="E31" i="2"/>
  <c r="J31" i="2" l="1"/>
  <c r="H31" i="2"/>
  <c r="K31" i="2"/>
  <c r="D32" i="2"/>
  <c r="F31" i="2"/>
  <c r="B3" i="15" l="1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32" i="2"/>
  <c r="H32" i="2" l="1"/>
  <c r="K32" i="2"/>
  <c r="F32" i="2"/>
  <c r="D33" i="2"/>
  <c r="B5" i="16" l="1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J32" i="2"/>
  <c r="E33" i="2"/>
  <c r="J33" i="2" l="1"/>
  <c r="H33" i="2"/>
  <c r="K33" i="2"/>
  <c r="F33" i="2"/>
  <c r="D34" i="2"/>
  <c r="B3" i="17" l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E34" i="2"/>
  <c r="H34" i="2" l="1"/>
  <c r="J34" i="2"/>
  <c r="K34" i="2"/>
  <c r="F34" i="2"/>
  <c r="D35" i="2"/>
  <c r="B5" i="18" l="1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E35" i="2"/>
  <c r="H35" i="2" l="1"/>
  <c r="K35" i="2"/>
  <c r="D36" i="2"/>
  <c r="F35" i="2"/>
  <c r="B5" i="19" l="1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J35" i="2"/>
  <c r="E36" i="2"/>
  <c r="H36" i="2" l="1"/>
  <c r="J36" i="2"/>
  <c r="K36" i="2"/>
  <c r="D37" i="2"/>
  <c r="F36" i="2"/>
  <c r="B5" i="20" l="1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E37" i="2"/>
  <c r="H37" i="2" l="1"/>
  <c r="K37" i="2"/>
  <c r="D38" i="2"/>
  <c r="F37" i="2"/>
  <c r="B3" i="21" l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J37" i="2"/>
  <c r="E38" i="2"/>
  <c r="H38" i="2" l="1"/>
  <c r="J38" i="2"/>
  <c r="K38" i="2"/>
  <c r="D39" i="2"/>
  <c r="F38" i="2"/>
  <c r="B5" i="22" l="1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E39" i="2"/>
  <c r="H39" i="2" l="1"/>
  <c r="K39" i="2"/>
  <c r="D40" i="2"/>
  <c r="F39" i="2"/>
  <c r="B5" i="23" l="1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J39" i="2"/>
  <c r="E40" i="2"/>
  <c r="H40" i="2" l="1"/>
  <c r="J40" i="2"/>
  <c r="K40" i="2"/>
  <c r="D41" i="2"/>
  <c r="F40" i="2"/>
  <c r="B5" i="24" l="1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E41" i="2"/>
  <c r="H41" i="2" l="1"/>
  <c r="K41" i="2"/>
  <c r="D42" i="2"/>
  <c r="F41" i="2"/>
  <c r="B5" i="26" l="1"/>
  <c r="C5" i="26" s="1"/>
  <c r="D5" i="26" s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B3" i="26"/>
  <c r="J41" i="2"/>
  <c r="E42" i="2"/>
  <c r="H42" i="2" s="1"/>
  <c r="J42" i="2" l="1"/>
  <c r="K42" i="2"/>
  <c r="D43" i="2"/>
  <c r="F42" i="2"/>
  <c r="B5" i="27" l="1"/>
  <c r="C5" i="27" s="1"/>
  <c r="D5" i="27" s="1"/>
  <c r="E5" i="27" s="1"/>
  <c r="F5" i="27" s="1"/>
  <c r="G5" i="27" s="1"/>
  <c r="H5" i="27" s="1"/>
  <c r="I5" i="27" s="1"/>
  <c r="J5" i="27" s="1"/>
  <c r="K5" i="27" s="1"/>
  <c r="L5" i="27" s="1"/>
  <c r="M5" i="27" s="1"/>
  <c r="N5" i="27" s="1"/>
  <c r="O5" i="27" s="1"/>
  <c r="B3" i="27"/>
  <c r="E43" i="2"/>
  <c r="H43" i="2" s="1"/>
  <c r="K43" i="2" l="1"/>
  <c r="D44" i="2"/>
  <c r="F43" i="2"/>
  <c r="B5" i="28" l="1"/>
  <c r="C5" i="28" s="1"/>
  <c r="D5" i="28" s="1"/>
  <c r="E5" i="28" s="1"/>
  <c r="F5" i="28" s="1"/>
  <c r="G5" i="28" s="1"/>
  <c r="H5" i="28" s="1"/>
  <c r="I5" i="28" s="1"/>
  <c r="J5" i="28" s="1"/>
  <c r="K5" i="28" s="1"/>
  <c r="L5" i="28" s="1"/>
  <c r="M5" i="28" s="1"/>
  <c r="N5" i="28" s="1"/>
  <c r="O5" i="28" s="1"/>
  <c r="B3" i="28"/>
  <c r="J43" i="2"/>
  <c r="E44" i="2"/>
  <c r="H44" i="2" l="1"/>
  <c r="J44" i="2"/>
  <c r="K44" i="2"/>
  <c r="D45" i="2"/>
  <c r="F44" i="2"/>
  <c r="B3" i="29" l="1"/>
  <c r="B5" i="29"/>
  <c r="C5" i="29" s="1"/>
  <c r="D5" i="29" s="1"/>
  <c r="E5" i="29" s="1"/>
  <c r="F5" i="29" s="1"/>
  <c r="G5" i="29" s="1"/>
  <c r="H5" i="29" s="1"/>
  <c r="I5" i="29" s="1"/>
  <c r="J5" i="29" s="1"/>
  <c r="K5" i="29" s="1"/>
  <c r="L5" i="29" s="1"/>
  <c r="M5" i="29" s="1"/>
  <c r="N5" i="29" s="1"/>
  <c r="O5" i="29" s="1"/>
  <c r="E45" i="2"/>
  <c r="H45" i="2" l="1"/>
  <c r="K45" i="2"/>
  <c r="D46" i="2"/>
  <c r="F45" i="2"/>
  <c r="B3" i="30" l="1"/>
  <c r="B5" i="30"/>
  <c r="C5" i="30" s="1"/>
  <c r="D5" i="30" s="1"/>
  <c r="E5" i="30" s="1"/>
  <c r="F5" i="30" s="1"/>
  <c r="G5" i="30" s="1"/>
  <c r="H5" i="30" s="1"/>
  <c r="I5" i="30" s="1"/>
  <c r="J5" i="30" s="1"/>
  <c r="K5" i="30" s="1"/>
  <c r="L5" i="30" s="1"/>
  <c r="M5" i="30" s="1"/>
  <c r="N5" i="30" s="1"/>
  <c r="O5" i="30" s="1"/>
  <c r="J45" i="2"/>
  <c r="E46" i="2"/>
  <c r="H46" i="2" l="1"/>
  <c r="J46" i="2"/>
  <c r="K46" i="2"/>
  <c r="D47" i="2"/>
  <c r="F46" i="2"/>
  <c r="B3" i="31" l="1"/>
  <c r="B5" i="31"/>
  <c r="C5" i="31" s="1"/>
  <c r="D5" i="31" s="1"/>
  <c r="E5" i="31" s="1"/>
  <c r="F5" i="31" s="1"/>
  <c r="G5" i="31" s="1"/>
  <c r="H5" i="31" s="1"/>
  <c r="I5" i="31" s="1"/>
  <c r="J5" i="31" s="1"/>
  <c r="K5" i="31" s="1"/>
  <c r="L5" i="31" s="1"/>
  <c r="M5" i="31" s="1"/>
  <c r="N5" i="31" s="1"/>
  <c r="O5" i="31" s="1"/>
  <c r="E47" i="2"/>
  <c r="H47" i="2" l="1"/>
  <c r="J47" i="2"/>
  <c r="K47" i="2"/>
  <c r="D48" i="2"/>
  <c r="F47" i="2"/>
  <c r="E48" i="2" l="1"/>
  <c r="H48" i="2" l="1"/>
  <c r="K48" i="2"/>
  <c r="D49" i="2"/>
  <c r="F48" i="2"/>
  <c r="J48" i="2" l="1"/>
  <c r="E49" i="2"/>
  <c r="H49" i="2" l="1"/>
  <c r="J49" i="2"/>
  <c r="K49" i="2"/>
  <c r="D50" i="2"/>
  <c r="F49" i="2"/>
  <c r="E50" i="2" l="1"/>
  <c r="H50" i="2" l="1"/>
  <c r="K50" i="2"/>
  <c r="D51" i="2"/>
  <c r="F50" i="2"/>
  <c r="J50" i="2" l="1"/>
  <c r="E51" i="2"/>
  <c r="H51" i="2" l="1"/>
  <c r="J51" i="2"/>
  <c r="K51" i="2"/>
  <c r="D52" i="2"/>
  <c r="F51" i="2"/>
  <c r="E52" i="2" l="1"/>
  <c r="H52" i="2" l="1"/>
  <c r="K52" i="2"/>
  <c r="F52" i="2"/>
  <c r="D53" i="2"/>
  <c r="J52" i="2" l="1"/>
  <c r="E53" i="2"/>
  <c r="J53" i="2" l="1"/>
  <c r="H53" i="2"/>
  <c r="F53" i="2"/>
  <c r="K53" i="2"/>
  <c r="D54" i="2"/>
  <c r="E54" i="2" l="1"/>
  <c r="H54" i="2" l="1"/>
  <c r="K54" i="2"/>
  <c r="F54" i="2"/>
  <c r="D55" i="2"/>
  <c r="J54" i="2" l="1"/>
  <c r="E55" i="2"/>
  <c r="J55" i="2" l="1"/>
  <c r="H55" i="2"/>
  <c r="K55" i="2"/>
  <c r="F55" i="2"/>
  <c r="D56" i="2"/>
  <c r="E56" i="2" l="1"/>
  <c r="H56" i="2" l="1"/>
  <c r="K56" i="2"/>
  <c r="D57" i="2"/>
  <c r="F56" i="2"/>
  <c r="J56" i="2" l="1"/>
  <c r="E57" i="2"/>
  <c r="J57" i="2" l="1"/>
  <c r="H57" i="2"/>
  <c r="K57" i="2"/>
  <c r="F57" i="2"/>
  <c r="D58" i="2"/>
  <c r="E58" i="2" l="1"/>
  <c r="H58" i="2" l="1"/>
  <c r="K58" i="2"/>
  <c r="D59" i="2"/>
  <c r="F58" i="2"/>
  <c r="J58" i="2" l="1"/>
  <c r="E59" i="2"/>
  <c r="J59" i="2" l="1"/>
  <c r="K59" i="2"/>
  <c r="F59" i="2"/>
  <c r="D60" i="2"/>
  <c r="H59" i="2"/>
  <c r="E60" i="2" l="1"/>
  <c r="J60" i="2" l="1"/>
  <c r="H60" i="2"/>
  <c r="K60" i="2"/>
  <c r="F60" i="2"/>
  <c r="D61" i="2"/>
  <c r="E61" i="2" l="1"/>
  <c r="H61" i="2" l="1"/>
  <c r="K61" i="2"/>
  <c r="D62" i="2"/>
  <c r="F61" i="2"/>
  <c r="J61" i="2" l="1"/>
  <c r="E62" i="2"/>
  <c r="H62" i="2" l="1"/>
  <c r="J62" i="2"/>
  <c r="K62" i="2"/>
  <c r="D63" i="2"/>
  <c r="F62" i="2"/>
  <c r="E63" i="2" l="1"/>
  <c r="H63" i="2" l="1"/>
  <c r="K63" i="2"/>
  <c r="F63" i="2"/>
  <c r="D64" i="2"/>
  <c r="J63" i="2" l="1"/>
  <c r="E64" i="2"/>
  <c r="H64" i="2" l="1"/>
  <c r="J64" i="2"/>
  <c r="K64" i="2"/>
  <c r="F64" i="2"/>
  <c r="D65" i="2"/>
  <c r="E65" i="2" l="1"/>
  <c r="H65" i="2" l="1"/>
  <c r="K65" i="2"/>
  <c r="D66" i="2"/>
  <c r="F65" i="2"/>
  <c r="J65" i="2" l="1"/>
  <c r="E66" i="2"/>
  <c r="H66" i="2" l="1"/>
  <c r="J66" i="2"/>
  <c r="K66" i="2"/>
  <c r="D67" i="2"/>
  <c r="F66" i="2"/>
  <c r="E67" i="2" l="1"/>
  <c r="H67" i="2" l="1"/>
  <c r="K67" i="2"/>
  <c r="F67" i="2"/>
  <c r="D68" i="2"/>
  <c r="J67" i="2" l="1"/>
  <c r="E68" i="2"/>
  <c r="J68" i="2" l="1"/>
  <c r="H68" i="2"/>
  <c r="K68" i="2"/>
  <c r="F68" i="2"/>
  <c r="D69" i="2"/>
  <c r="E69" i="2" l="1"/>
  <c r="H69" i="2" l="1"/>
  <c r="K69" i="2"/>
  <c r="D70" i="2"/>
  <c r="F69" i="2"/>
  <c r="J69" i="2" l="1"/>
  <c r="E70" i="2"/>
  <c r="H70" i="2" l="1"/>
  <c r="J70" i="2"/>
  <c r="K70" i="2"/>
  <c r="D71" i="2"/>
  <c r="F70" i="2"/>
  <c r="E71" i="2" l="1"/>
  <c r="H71" i="2" l="1"/>
  <c r="J71" i="2"/>
  <c r="K71" i="2"/>
  <c r="F71" i="2"/>
  <c r="D72" i="2"/>
  <c r="E72" i="2" l="1"/>
  <c r="H72" i="2" l="1"/>
  <c r="K72" i="2"/>
  <c r="F72" i="2"/>
  <c r="D73" i="2"/>
  <c r="J72" i="2" l="1"/>
  <c r="E73" i="2"/>
  <c r="H73" i="2" l="1"/>
  <c r="J73" i="2"/>
  <c r="K73" i="2"/>
  <c r="D74" i="2"/>
  <c r="F73" i="2"/>
  <c r="E74" i="2" l="1"/>
  <c r="H74" i="2" l="1"/>
  <c r="K74" i="2"/>
  <c r="D75" i="2"/>
  <c r="F74" i="2"/>
  <c r="J74" i="2" l="1"/>
  <c r="E75" i="2"/>
  <c r="H75" i="2" l="1"/>
  <c r="J75" i="2"/>
  <c r="K75" i="2"/>
  <c r="D76" i="2"/>
  <c r="F75" i="2"/>
  <c r="E76" i="2" l="1"/>
  <c r="H76" i="2" l="1"/>
  <c r="K76" i="2"/>
  <c r="D77" i="2"/>
  <c r="F76" i="2"/>
  <c r="J76" i="2" l="1"/>
  <c r="E77" i="2"/>
  <c r="H77" i="2" l="1"/>
  <c r="J77" i="2"/>
  <c r="K77" i="2"/>
  <c r="D78" i="2"/>
  <c r="F77" i="2"/>
  <c r="E78" i="2" l="1"/>
  <c r="H78" i="2" l="1"/>
  <c r="K78" i="2"/>
  <c r="D79" i="2"/>
  <c r="F78" i="2"/>
  <c r="J78" i="2" l="1"/>
  <c r="E79" i="2"/>
  <c r="H79" i="2" l="1"/>
  <c r="J79" i="2"/>
  <c r="K79" i="2"/>
  <c r="D80" i="2"/>
  <c r="F79" i="2"/>
  <c r="E80" i="2" l="1"/>
  <c r="H80" i="2" l="1"/>
  <c r="K80" i="2"/>
  <c r="D81" i="2"/>
  <c r="F80" i="2"/>
  <c r="J80" i="2" l="1"/>
  <c r="E81" i="2"/>
  <c r="J81" i="2" l="1"/>
  <c r="H81" i="2"/>
  <c r="K81" i="2"/>
  <c r="F81" i="2"/>
  <c r="D82" i="2"/>
  <c r="E82" i="2" l="1"/>
  <c r="H82" i="2" l="1"/>
  <c r="K82" i="2"/>
  <c r="D83" i="2"/>
  <c r="F82" i="2"/>
  <c r="J82" i="2" l="1"/>
  <c r="E83" i="2"/>
  <c r="H83" i="2" l="1"/>
  <c r="J83" i="2"/>
  <c r="K83" i="2"/>
  <c r="D84" i="2"/>
  <c r="F83" i="2"/>
  <c r="E84" i="2" l="1"/>
  <c r="H84" i="2" l="1"/>
  <c r="K84" i="2"/>
  <c r="F84" i="2"/>
  <c r="D85" i="2"/>
  <c r="J84" i="2" l="1"/>
  <c r="E85" i="2"/>
  <c r="J85" i="2" l="1"/>
  <c r="H85" i="2"/>
  <c r="K85" i="2"/>
  <c r="F85" i="2"/>
  <c r="D86" i="2"/>
  <c r="E86" i="2" l="1"/>
  <c r="H86" i="2" l="1"/>
  <c r="J86" i="2"/>
  <c r="K86" i="2"/>
  <c r="D87" i="2"/>
  <c r="F86" i="2"/>
  <c r="E87" i="2" l="1"/>
  <c r="K87" i="2" l="1"/>
  <c r="F87" i="2"/>
  <c r="D88" i="2"/>
  <c r="H87" i="2"/>
  <c r="J87" i="2" l="1"/>
  <c r="E88" i="2"/>
  <c r="H88" i="2" l="1"/>
  <c r="J88" i="2"/>
  <c r="K88" i="2"/>
  <c r="F88" i="2"/>
  <c r="D89" i="2"/>
  <c r="E89" i="2" l="1"/>
  <c r="H89" i="2" l="1"/>
  <c r="K89" i="2"/>
  <c r="F89" i="2"/>
  <c r="D90" i="2"/>
  <c r="J89" i="2" l="1"/>
  <c r="E90" i="2"/>
  <c r="H90" i="2" l="1"/>
  <c r="J90" i="2"/>
  <c r="K90" i="2"/>
  <c r="D91" i="2"/>
  <c r="F90" i="2"/>
  <c r="E91" i="2" l="1"/>
  <c r="H91" i="2" l="1"/>
  <c r="K91" i="2"/>
  <c r="D92" i="2"/>
  <c r="F91" i="2"/>
  <c r="J91" i="2" l="1"/>
  <c r="E92" i="2"/>
  <c r="H92" i="2" l="1"/>
  <c r="J92" i="2"/>
  <c r="K92" i="2"/>
  <c r="D93" i="2"/>
  <c r="F92" i="2"/>
  <c r="E93" i="2" l="1"/>
  <c r="H93" i="2" l="1"/>
  <c r="K93" i="2"/>
  <c r="F93" i="2"/>
  <c r="D94" i="2"/>
  <c r="J93" i="2" l="1"/>
  <c r="E94" i="2"/>
  <c r="H94" i="2" s="1"/>
  <c r="J94" i="2" l="1"/>
  <c r="K94" i="2"/>
  <c r="F94" i="2"/>
  <c r="D95" i="2"/>
  <c r="E95" i="2" l="1"/>
  <c r="H95" i="2" l="1"/>
  <c r="K95" i="2"/>
  <c r="D96" i="2"/>
  <c r="F95" i="2"/>
  <c r="J95" i="2" l="1"/>
  <c r="E96" i="2"/>
  <c r="H96" i="2" l="1"/>
  <c r="J96" i="2"/>
  <c r="K96" i="2"/>
  <c r="D97" i="2"/>
  <c r="F96" i="2"/>
  <c r="E97" i="2" l="1"/>
  <c r="H97" i="2" l="1"/>
  <c r="J97" i="2"/>
  <c r="K97" i="2"/>
  <c r="D98" i="2"/>
  <c r="F97" i="2"/>
  <c r="E98" i="2" l="1"/>
  <c r="H98" i="2" l="1"/>
  <c r="K98" i="2"/>
  <c r="D99" i="2"/>
  <c r="F98" i="2"/>
  <c r="J98" i="2" l="1"/>
  <c r="E99" i="2"/>
  <c r="H99" i="2" l="1"/>
  <c r="J99" i="2"/>
  <c r="K99" i="2"/>
  <c r="D100" i="2"/>
  <c r="F99" i="2"/>
  <c r="E100" i="2" l="1"/>
  <c r="H100" i="2" l="1"/>
  <c r="K100" i="2"/>
  <c r="D101" i="2"/>
  <c r="F100" i="2"/>
  <c r="J100" i="2" l="1"/>
  <c r="E101" i="2"/>
  <c r="H101" i="2" l="1"/>
  <c r="J101" i="2"/>
  <c r="K101" i="2"/>
  <c r="D102" i="2"/>
  <c r="F101" i="2"/>
  <c r="E102" i="2" l="1"/>
  <c r="H102" i="2" l="1"/>
  <c r="K102" i="2"/>
  <c r="F102" i="2"/>
  <c r="D103" i="2"/>
  <c r="J102" i="2" l="1"/>
  <c r="E103" i="2"/>
  <c r="H103" i="2" s="1"/>
  <c r="J103" i="2" l="1"/>
  <c r="K103" i="2"/>
  <c r="D104" i="2"/>
  <c r="F103" i="2"/>
  <c r="E104" i="2" l="1"/>
  <c r="H104" i="2" l="1"/>
  <c r="K104" i="2"/>
  <c r="F104" i="2"/>
  <c r="D105" i="2"/>
  <c r="J104" i="2" l="1"/>
  <c r="E105" i="2"/>
  <c r="H105" i="2" l="1"/>
  <c r="J105" i="2"/>
  <c r="K105" i="2"/>
  <c r="D106" i="2"/>
  <c r="F105" i="2"/>
  <c r="E106" i="2" l="1"/>
  <c r="H106" i="2" l="1"/>
  <c r="K106" i="2"/>
  <c r="F106" i="2"/>
  <c r="D107" i="2"/>
  <c r="J106" i="2" l="1"/>
  <c r="E107" i="2"/>
  <c r="H107" i="2" l="1"/>
  <c r="J107" i="2"/>
  <c r="K107" i="2"/>
  <c r="D108" i="2"/>
  <c r="F107" i="2"/>
  <c r="E108" i="2" l="1"/>
  <c r="H108" i="2" l="1"/>
  <c r="J108" i="2"/>
  <c r="K108" i="2"/>
  <c r="F108" i="2"/>
  <c r="D109" i="2"/>
  <c r="E109" i="2" l="1"/>
  <c r="H109" i="2" l="1"/>
  <c r="K109" i="2"/>
  <c r="D110" i="2"/>
  <c r="F109" i="2"/>
  <c r="J109" i="2" l="1"/>
  <c r="E110" i="2"/>
  <c r="H110" i="2" l="1"/>
  <c r="J110" i="2"/>
  <c r="K110" i="2"/>
  <c r="F110" i="2"/>
  <c r="D111" i="2"/>
  <c r="E111" i="2" l="1"/>
  <c r="H111" i="2" l="1"/>
  <c r="K111" i="2"/>
  <c r="D112" i="2"/>
  <c r="F111" i="2"/>
  <c r="J111" i="2" l="1"/>
  <c r="E112" i="2"/>
  <c r="H112" i="2" l="1"/>
  <c r="J112" i="2"/>
  <c r="K112" i="2"/>
  <c r="F112" i="2"/>
  <c r="D113" i="2"/>
  <c r="E113" i="2" l="1"/>
  <c r="H113" i="2" l="1"/>
  <c r="K113" i="2"/>
  <c r="F113" i="2"/>
  <c r="D114" i="2"/>
  <c r="J113" i="2" l="1"/>
  <c r="E114" i="2"/>
  <c r="H114" i="2" l="1"/>
  <c r="J114" i="2"/>
  <c r="K114" i="2"/>
  <c r="F114" i="2"/>
  <c r="D115" i="2"/>
  <c r="E115" i="2" l="1"/>
  <c r="H115" i="2" l="1"/>
  <c r="K115" i="2"/>
  <c r="D116" i="2"/>
  <c r="F115" i="2"/>
  <c r="J115" i="2" l="1"/>
  <c r="E116" i="2"/>
  <c r="H116" i="2" l="1"/>
  <c r="J116" i="2"/>
  <c r="K116" i="2"/>
  <c r="F116" i="2"/>
  <c r="D117" i="2"/>
  <c r="E117" i="2" l="1"/>
  <c r="H117" i="2" l="1"/>
  <c r="K117" i="2"/>
  <c r="D118" i="2"/>
  <c r="F117" i="2"/>
  <c r="J117" i="2" l="1"/>
  <c r="E118" i="2"/>
  <c r="H118" i="2" l="1"/>
  <c r="J118" i="2"/>
  <c r="K118" i="2"/>
  <c r="D119" i="2"/>
  <c r="E119" i="2" s="1"/>
  <c r="F118" i="2"/>
  <c r="K119" i="2" l="1"/>
  <c r="D120" i="2"/>
  <c r="E120" i="2" s="1"/>
  <c r="F119" i="2"/>
  <c r="J120" i="2" l="1"/>
  <c r="J119" i="2"/>
  <c r="F120" i="2"/>
  <c r="K120" i="2"/>
  <c r="D121" i="2"/>
  <c r="E121" i="2" s="1"/>
  <c r="J121" i="2" l="1"/>
  <c r="K121" i="2"/>
  <c r="F121" i="2"/>
  <c r="D122" i="2"/>
  <c r="E122" i="2" s="1"/>
  <c r="D123" i="2" l="1"/>
  <c r="E123" i="2" s="1"/>
  <c r="K122" i="2"/>
  <c r="F122" i="2"/>
  <c r="J123" i="2" l="1"/>
  <c r="J122" i="2"/>
  <c r="D124" i="2"/>
  <c r="E124" i="2" s="1"/>
  <c r="K123" i="2"/>
  <c r="F123" i="2"/>
  <c r="F124" i="2" l="1"/>
  <c r="K124" i="2"/>
  <c r="B3" i="9" l="1"/>
  <c r="B3" i="8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5"/>
  <c r="B3" i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4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<sst xmlns="http://schemas.openxmlformats.org/spreadsheetml/2006/main" count="981" uniqueCount="65">
  <si>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</si>
  <si>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</si>
  <si>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</si>
  <si>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</si>
  <si>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</si>
  <si>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</si>
  <si>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</si>
  <si>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</si>
  <si>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</si>
  <si>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</si>
  <si>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</si>
  <si>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</si>
  <si>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</si>
  <si>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</si>
  <si>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</si>
  <si>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</si>
  <si>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</si>
  <si>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</si>
  <si>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</si>
  <si>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</si>
  <si>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</si>
  <si>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</si>
  <si>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</si>
  <si>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</si>
  <si>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</si>
  <si>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Travelling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</si>
  <si>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</si>
  <si>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</si>
  <si>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</si>
  <si>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</si>
  <si>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</si>
  <si>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</si>
  <si>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</si>
  <si>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</si>
  <si>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</si>
  <si>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</si>
  <si>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</si>
  <si>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</si>
  <si>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</si>
  <si>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</si>
  <si>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</si>
  <si>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</si>
  <si>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</si>
  <si>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</si>
  <si>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</si>
  <si>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</si>
  <si>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</si>
  <si>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</si>
  <si>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</si>
  <si>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</si>
  <si>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</si>
  <si>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Exercise (hosted or attended)</t>
  </si>
  <si>
    <t>Incident Response</t>
  </si>
  <si>
    <t>IT Management or Maintenance</t>
  </si>
  <si>
    <t>Planning or Resource Updates</t>
  </si>
  <si>
    <t>Traveling</t>
  </si>
  <si>
    <t>UpdateCodeInSync</t>
  </si>
  <si>
    <t>Week 1 Total:</t>
  </si>
  <si>
    <t>Week 2 Total:</t>
  </si>
  <si>
    <t>PatchesInstalled</t>
  </si>
  <si>
    <t>UpdateCodeVersion</t>
  </si>
  <si>
    <t>FY14-19</t>
  </si>
  <si>
    <t>4.2</t>
  </si>
  <si>
    <t>v4.2.1</t>
  </si>
  <si>
    <t>v4.2.2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</si>
</sst>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5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3" fillId="0" borderId="0" xfId="5">
      <alignment horizontal="right"/>
    </xf>
    <xf numFmtId="0" fontId="0" fillId="0" borderId="0" xfId="0" applyFont="1">
      <alignment horizontal="center"/>
    </xf>
    <xf numFmtId="0" fontId="3" fillId="0" borderId="0" xfId="0" applyFont="1">
      <alignment horizontal="center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214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68641" name="btnAddActivity" hidden="1">
              <a:extLst>
                <a:ext uri="{63B3BB69-23CF-44E3-9099-C40C66FF867C}">
                  <a14:compatExt spid="_x0000_s368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39969" name="btnAddActivity" hidden="1">
              <a:extLst>
                <a:ext uri="{63B3BB69-23CF-44E3-9099-C40C66FF867C}">
                  <a14:compatExt spid="_x0000_s339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13345" name="btnAddActivity" hidden="1">
              <a:extLst>
                <a:ext uri="{63B3BB69-23CF-44E3-9099-C40C66FF867C}">
                  <a14:compatExt spid="_x0000_s3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86721" name="btnAddActivity" hidden="1">
              <a:extLst>
                <a:ext uri="{63B3BB69-23CF-44E3-9099-C40C66FF867C}">
                  <a14:compatExt spid="_x0000_s286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62145" name="btnAddActivity" hidden="1">
              <a:extLst>
                <a:ext uri="{63B3BB69-23CF-44E3-9099-C40C66FF867C}">
                  <a14:compatExt spid="_x0000_s26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8593" name="btnAddActivity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14017" name="btnAddActivity" hidden="1">
              <a:extLst>
                <a:ext uri="{63B3BB69-23CF-44E3-9099-C40C66FF867C}">
                  <a14:compatExt spid="_x0000_s214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2513" name="btnAddActivity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72033" name="btnAddActivity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52577" name="btnAddActivity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34145" name="btnAddActivity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5713" name="btnAddActivity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8305" name="btnAddActivity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82945" name="btnAddActivity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5297" name="btnAddActivity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3009" name="btnAddActivity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1745" name="btnAddActivity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1505" name="btnAddActivity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7409" name="btnAddActivity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180975</xdr:rowOff>
        </xdr:to>
        <xdr:sp macro="" textlink="">
          <xdr:nvSpPr>
            <xdr:cNvPr id="15361" name="btnAddActivity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3313" name="btnAddActiv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265" name="btnAddActivity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9" name="btnAddActivity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161925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J18" sqref="J18"/>
    </sheetView>
  </sheetViews>
  <sheetFormatPr defaultColWidth="8.88671875"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0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0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autoPict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222"/>
  <sheetViews>
    <sheetView workbookViewId="0">
      <selection activeCell="I7" sqref="I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>
        <v>2</v>
      </c>
      <c r="D7" s="23">
        <v>0.5</v>
      </c>
      <c r="E7" s="23">
        <v>0.5</v>
      </c>
      <c r="F7" s="23"/>
      <c r="G7" s="23"/>
      <c r="H7" s="23"/>
      <c r="I7" s="23">
        <v>0.75</v>
      </c>
      <c r="J7" s="23"/>
      <c r="K7" s="23"/>
      <c r="L7" s="23"/>
      <c r="M7" s="23"/>
      <c r="N7" s="23"/>
      <c r="O7" s="23"/>
      <c r="P7" s="24">
        <f t="shared" ref="P7:P21" si="1">SUM(B7:O7)</f>
        <v>3.75</v>
      </c>
    </row>
    <row r="8" spans="1:16" ht="20.25" customHeight="1" x14ac:dyDescent="0.25">
      <c r="A8" s="22" t="s">
        <v>29</v>
      </c>
      <c r="B8" s="23"/>
      <c r="C8" s="23"/>
      <c r="D8" s="23">
        <v>0.25</v>
      </c>
      <c r="E8" s="23"/>
      <c r="F8" s="23"/>
      <c r="G8" s="23"/>
      <c r="H8" s="23"/>
      <c r="I8" s="23">
        <v>0.25</v>
      </c>
      <c r="J8" s="23"/>
      <c r="K8" s="23"/>
      <c r="L8" s="23"/>
      <c r="M8" s="23"/>
      <c r="N8" s="23"/>
      <c r="O8" s="23"/>
      <c r="P8" s="24">
        <f t="shared" si="1"/>
        <v>0.5</v>
      </c>
    </row>
    <row r="9" spans="1:16" ht="20.25" customHeight="1" x14ac:dyDescent="0.25">
      <c r="A9" s="22" t="s">
        <v>26</v>
      </c>
      <c r="B9" s="23"/>
      <c r="C9" s="23"/>
      <c r="D9" s="23"/>
      <c r="E9" s="23"/>
      <c r="F9" s="23">
        <v>1</v>
      </c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1</v>
      </c>
    </row>
    <row r="10" spans="1:16" ht="20.25" customHeight="1" x14ac:dyDescent="0.25">
      <c r="A10" s="22" t="s">
        <v>52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</v>
      </c>
    </row>
    <row r="11" spans="1:16" ht="20.25" customHeight="1" x14ac:dyDescent="0.25">
      <c r="A11" s="22" t="s">
        <v>27</v>
      </c>
      <c r="B11" s="23"/>
      <c r="C11" s="23">
        <v>1</v>
      </c>
      <c r="D11" s="23">
        <v>1</v>
      </c>
      <c r="E11" s="23"/>
      <c r="F11" s="23">
        <v>1</v>
      </c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3</v>
      </c>
    </row>
    <row r="12" spans="1:16" ht="20.25" customHeight="1" x14ac:dyDescent="0.25">
      <c r="A12" s="22" t="s">
        <v>53</v>
      </c>
      <c r="B12" s="23"/>
      <c r="C12" s="23">
        <v>1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20</v>
      </c>
      <c r="B13" s="23"/>
      <c r="C13" s="23">
        <v>0.5</v>
      </c>
      <c r="D13" s="23">
        <v>1.75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2.25</v>
      </c>
    </row>
    <row r="14" spans="1:16" ht="20.25" customHeight="1" x14ac:dyDescent="0.25">
      <c r="A14" s="22" t="s">
        <v>21</v>
      </c>
      <c r="B14" s="23"/>
      <c r="C14" s="23"/>
      <c r="D14" s="23">
        <v>0.25</v>
      </c>
      <c r="E14" s="23">
        <v>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1.25</v>
      </c>
    </row>
    <row r="15" spans="1:16" ht="20.25" customHeight="1" x14ac:dyDescent="0.25">
      <c r="A15" s="22" t="s">
        <v>54</v>
      </c>
      <c r="B15" s="23"/>
      <c r="C15" s="23">
        <v>1.25</v>
      </c>
      <c r="D15" s="23">
        <v>5</v>
      </c>
      <c r="E15" s="23">
        <v>1.5</v>
      </c>
      <c r="F15" s="23">
        <v>2.75</v>
      </c>
      <c r="G15" s="23"/>
      <c r="H15" s="23"/>
      <c r="I15" s="23">
        <v>0.25</v>
      </c>
      <c r="J15" s="23"/>
      <c r="K15" s="23"/>
      <c r="L15" s="23"/>
      <c r="M15" s="23"/>
      <c r="N15" s="23"/>
      <c r="O15" s="23"/>
      <c r="P15" s="24">
        <f t="shared" si="1"/>
        <v>10.75</v>
      </c>
    </row>
    <row r="16" spans="1:16" ht="20.25" customHeight="1" x14ac:dyDescent="0.25">
      <c r="A16" s="22" t="s">
        <v>43</v>
      </c>
      <c r="B16" s="23"/>
      <c r="C16" s="23"/>
      <c r="D16" s="23"/>
      <c r="E16" s="23">
        <v>1.75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1.75</v>
      </c>
    </row>
    <row r="17" spans="1:20" ht="20.25" customHeight="1" x14ac:dyDescent="0.25">
      <c r="A17" s="22" t="s">
        <v>30</v>
      </c>
      <c r="B17" s="23"/>
      <c r="C17" s="23">
        <v>1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1</v>
      </c>
    </row>
    <row r="18" spans="1:20" ht="20.25" customHeight="1" x14ac:dyDescent="0.25">
      <c r="A18" s="22" t="s">
        <v>28</v>
      </c>
      <c r="B18" s="23">
        <v>8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8</v>
      </c>
    </row>
    <row r="19" spans="1:20" ht="20.25" customHeight="1" x14ac:dyDescent="0.25">
      <c r="A19" s="22" t="s">
        <v>23</v>
      </c>
      <c r="B19" s="23"/>
      <c r="C19" s="23"/>
      <c r="D19" s="23">
        <v>2.5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55</v>
      </c>
      <c r="B20" s="23"/>
      <c r="C20" s="23"/>
      <c r="D20" s="23">
        <v>0.5</v>
      </c>
      <c r="E20" s="23">
        <v>1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4">
        <f t="shared" si="1"/>
        <v>1.5</v>
      </c>
    </row>
    <row r="21" spans="1:20" ht="20.25" customHeight="1" x14ac:dyDescent="0.25">
      <c r="A21" s="22" t="s">
        <v>18</v>
      </c>
      <c r="B21" s="23"/>
      <c r="C21" s="23"/>
      <c r="D21" s="23"/>
      <c r="E21" s="23">
        <v>1</v>
      </c>
      <c r="F21" s="23">
        <v>2</v>
      </c>
      <c r="G21" s="23"/>
      <c r="H21" s="23"/>
      <c r="I21" s="23"/>
      <c r="J21" s="23"/>
      <c r="K21" s="23"/>
      <c r="L21" s="23"/>
      <c r="M21" s="23"/>
      <c r="N21" s="23"/>
      <c r="O21" s="23"/>
      <c r="P21" s="24">
        <f t="shared" si="1"/>
        <v>3</v>
      </c>
    </row>
    <row r="22" spans="1:20" ht="20.25" customHeight="1" x14ac:dyDescent="0.2">
      <c r="A22" s="15" t="s">
        <v>39</v>
      </c>
      <c r="B22" s="14">
        <f t="shared" ref="B22:P22" si="2">SUM(B7:B21)</f>
        <v>8</v>
      </c>
      <c r="C22" s="14">
        <f t="shared" si="2"/>
        <v>6.75</v>
      </c>
      <c r="D22" s="14">
        <f t="shared" si="2"/>
        <v>11.75</v>
      </c>
      <c r="E22" s="14">
        <f t="shared" si="2"/>
        <v>6.75</v>
      </c>
      <c r="F22" s="14">
        <f t="shared" si="2"/>
        <v>6.75</v>
      </c>
      <c r="G22" s="14">
        <f t="shared" si="2"/>
        <v>0</v>
      </c>
      <c r="H22" s="14">
        <f t="shared" si="2"/>
        <v>0</v>
      </c>
      <c r="I22" s="14">
        <f t="shared" si="2"/>
        <v>1.25</v>
      </c>
      <c r="J22" s="14">
        <f t="shared" si="2"/>
        <v>0</v>
      </c>
      <c r="K22" s="14">
        <f t="shared" si="2"/>
        <v>0</v>
      </c>
      <c r="L22" s="14">
        <f t="shared" si="2"/>
        <v>0</v>
      </c>
      <c r="M22" s="14">
        <f t="shared" si="2"/>
        <v>0</v>
      </c>
      <c r="N22" s="14">
        <f t="shared" si="2"/>
        <v>0</v>
      </c>
      <c r="O22" s="14">
        <f t="shared" si="2"/>
        <v>0</v>
      </c>
      <c r="P22" s="14">
        <f t="shared" si="2"/>
        <v>41.25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1.25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213" priority="6" operator="greaterThan">
      <formula>8</formula>
    </cfRule>
    <cfRule type="cellIs" dxfId="212" priority="127" operator="equal">
      <formula>8</formula>
    </cfRule>
  </conditionalFormatting>
  <conditionalFormatting sqref="P7:P21">
    <cfRule type="cellIs" dxfId="211" priority="5" operator="greaterThan">
      <formula>80</formula>
    </cfRule>
  </conditionalFormatting>
  <conditionalFormatting sqref="P22">
    <cfRule type="cellIs" dxfId="210" priority="4" operator="greaterThan">
      <formula>80</formula>
    </cfRule>
    <cfRule type="cellIs" dxfId="209" priority="128" operator="equal">
      <formula>80</formula>
    </cfRule>
  </conditionalFormatting>
  <conditionalFormatting sqref="H23">
    <cfRule type="cellIs" dxfId="208" priority="3" operator="greaterThan">
      <formula>40</formula>
    </cfRule>
    <cfRule type="cellIs" dxfId="207" priority="129" operator="equal">
      <formula>40</formula>
    </cfRule>
  </conditionalFormatting>
  <conditionalFormatting sqref="O23">
    <cfRule type="cellIs" dxfId="206" priority="2" operator="greaterThan">
      <formula>40</formula>
    </cfRule>
    <cfRule type="cellIs" dxfId="205" priority="130" operator="equal">
      <formula>40</formula>
    </cfRule>
  </conditionalFormatting>
  <conditionalFormatting sqref="G22:H22 N22:O22">
    <cfRule type="cellIs" dxfId="20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6864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6864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T221"/>
  <sheetViews>
    <sheetView workbookViewId="0">
      <selection activeCell="T10" sqref="T1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INDEX(Refs!D:D,MATCH('FY14-18'!B1 &amp; 'FY14-18'!B2,Refs!K:K,0))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0.5</v>
      </c>
      <c r="C7" s="23">
        <v>1</v>
      </c>
      <c r="D7" s="23">
        <v>0.25</v>
      </c>
      <c r="E7" s="23">
        <v>1.5</v>
      </c>
      <c r="F7" s="23">
        <v>1</v>
      </c>
      <c r="G7" s="23"/>
      <c r="H7" s="23"/>
      <c r="I7" s="23">
        <v>0.5</v>
      </c>
      <c r="J7" s="23">
        <v>0.25</v>
      </c>
      <c r="K7" s="23"/>
      <c r="L7" s="23">
        <v>2.25</v>
      </c>
      <c r="M7" s="23"/>
      <c r="N7" s="23"/>
      <c r="O7" s="23"/>
      <c r="P7" s="24">
        <f t="shared" ref="P7:P20" si="1">SUM(B7:O7)</f>
        <v>7.25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1.5</v>
      </c>
    </row>
    <row r="9" spans="1:16" ht="20.25" customHeight="1" x14ac:dyDescent="0.25">
      <c r="A9" s="22" t="s">
        <v>26</v>
      </c>
      <c r="B9" s="23"/>
      <c r="C9" s="23">
        <v>0.5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51</v>
      </c>
      <c r="B10" s="23"/>
      <c r="C10" s="23"/>
      <c r="D10" s="23">
        <v>0.25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0.25</v>
      </c>
    </row>
    <row r="11" spans="1:16" ht="20.25" customHeight="1" x14ac:dyDescent="0.25">
      <c r="A11" s="22" t="s">
        <v>27</v>
      </c>
      <c r="B11" s="23">
        <v>0.75</v>
      </c>
      <c r="C11" s="23"/>
      <c r="D11" s="23"/>
      <c r="E11" s="23"/>
      <c r="F11" s="23">
        <v>1.5</v>
      </c>
      <c r="G11" s="23">
        <v>0.25</v>
      </c>
      <c r="H11" s="23"/>
      <c r="I11" s="23"/>
      <c r="J11" s="23">
        <v>2</v>
      </c>
      <c r="K11" s="23"/>
      <c r="L11" s="23"/>
      <c r="M11" s="23"/>
      <c r="N11" s="23"/>
      <c r="O11" s="23"/>
      <c r="P11" s="24">
        <f t="shared" si="1"/>
        <v>4.5</v>
      </c>
    </row>
    <row r="12" spans="1:16" ht="20.25" customHeight="1" x14ac:dyDescent="0.25">
      <c r="A12" s="22" t="s">
        <v>20</v>
      </c>
      <c r="B12" s="23">
        <v>0.75</v>
      </c>
      <c r="C12" s="23"/>
      <c r="D12" s="23"/>
      <c r="E12" s="23">
        <v>2.25</v>
      </c>
      <c r="F12" s="23"/>
      <c r="G12" s="23"/>
      <c r="H12" s="23"/>
      <c r="I12" s="23">
        <v>0.75</v>
      </c>
      <c r="J12" s="23"/>
      <c r="K12" s="23"/>
      <c r="L12" s="23">
        <v>2</v>
      </c>
      <c r="M12" s="23"/>
      <c r="N12" s="23"/>
      <c r="O12" s="23"/>
      <c r="P12" s="24">
        <f t="shared" si="1"/>
        <v>5.75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>
        <v>1</v>
      </c>
      <c r="L13" s="23">
        <v>2</v>
      </c>
      <c r="M13" s="23">
        <v>4</v>
      </c>
      <c r="N13" s="23"/>
      <c r="O13" s="23"/>
      <c r="P13" s="24">
        <f t="shared" si="1"/>
        <v>7</v>
      </c>
    </row>
    <row r="14" spans="1:16" ht="20.25" customHeight="1" x14ac:dyDescent="0.25">
      <c r="A14" s="22" t="s">
        <v>54</v>
      </c>
      <c r="B14" s="23">
        <v>2</v>
      </c>
      <c r="C14" s="23">
        <v>5</v>
      </c>
      <c r="D14" s="23">
        <v>4.25</v>
      </c>
      <c r="E14" s="23">
        <v>2.5</v>
      </c>
      <c r="F14" s="23">
        <v>2</v>
      </c>
      <c r="G14" s="23"/>
      <c r="H14" s="23"/>
      <c r="I14" s="23">
        <v>3.25</v>
      </c>
      <c r="J14" s="23">
        <v>5</v>
      </c>
      <c r="K14" s="23"/>
      <c r="L14" s="23"/>
      <c r="M14" s="23"/>
      <c r="N14" s="23"/>
      <c r="O14" s="23"/>
      <c r="P14" s="24">
        <f t="shared" si="1"/>
        <v>24</v>
      </c>
    </row>
    <row r="15" spans="1:16" ht="20.25" customHeight="1" x14ac:dyDescent="0.25">
      <c r="A15" s="22" t="s">
        <v>30</v>
      </c>
      <c r="B15" s="23">
        <v>1.75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1.75</v>
      </c>
    </row>
    <row r="16" spans="1:16" ht="20.25" customHeight="1" x14ac:dyDescent="0.25">
      <c r="A16" s="22" t="s">
        <v>28</v>
      </c>
      <c r="B16" s="23"/>
      <c r="C16" s="23"/>
      <c r="D16" s="23"/>
      <c r="E16" s="23"/>
      <c r="F16" s="23"/>
      <c r="G16" s="23"/>
      <c r="H16" s="23"/>
      <c r="I16" s="23">
        <v>3</v>
      </c>
      <c r="J16" s="23"/>
      <c r="K16" s="23">
        <v>6.5</v>
      </c>
      <c r="L16" s="23"/>
      <c r="M16" s="23">
        <v>3</v>
      </c>
      <c r="N16" s="23"/>
      <c r="O16" s="23"/>
      <c r="P16" s="24">
        <f t="shared" si="1"/>
        <v>12.5</v>
      </c>
    </row>
    <row r="17" spans="1:20" ht="20.25" customHeight="1" x14ac:dyDescent="0.25">
      <c r="A17" s="22" t="s">
        <v>22</v>
      </c>
      <c r="B17" s="23"/>
      <c r="C17" s="23"/>
      <c r="D17" s="23"/>
      <c r="E17" s="23">
        <v>6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6</v>
      </c>
    </row>
    <row r="18" spans="1:20" ht="20.25" customHeight="1" x14ac:dyDescent="0.25">
      <c r="A18" s="22" t="s">
        <v>23</v>
      </c>
      <c r="B18" s="23"/>
      <c r="C18" s="23">
        <v>2.5</v>
      </c>
      <c r="D18" s="23"/>
      <c r="E18" s="23"/>
      <c r="F18" s="23">
        <v>5</v>
      </c>
      <c r="G18" s="23">
        <v>4</v>
      </c>
      <c r="H18" s="23"/>
      <c r="I18" s="23"/>
      <c r="J18" s="23"/>
      <c r="K18" s="23"/>
      <c r="L18" s="23"/>
      <c r="M18" s="23"/>
      <c r="N18" s="23"/>
      <c r="O18" s="23"/>
      <c r="P18" s="24">
        <f t="shared" si="1"/>
        <v>11.5</v>
      </c>
    </row>
    <row r="19" spans="1:20" ht="20.25" customHeight="1" x14ac:dyDescent="0.25">
      <c r="A19" s="22" t="s">
        <v>55</v>
      </c>
      <c r="B19" s="23"/>
      <c r="C19" s="23"/>
      <c r="D19" s="23"/>
      <c r="E19" s="23"/>
      <c r="F19" s="23"/>
      <c r="G19" s="23"/>
      <c r="H19" s="23"/>
      <c r="I19" s="23"/>
      <c r="J19" s="23"/>
      <c r="K19" s="23">
        <v>1.5</v>
      </c>
      <c r="L19" s="23">
        <v>0.5</v>
      </c>
      <c r="M19" s="23">
        <v>2</v>
      </c>
      <c r="N19" s="23"/>
      <c r="O19" s="23"/>
      <c r="P19" s="24">
        <f t="shared" si="1"/>
        <v>4</v>
      </c>
    </row>
    <row r="20" spans="1:20" ht="20.25" customHeight="1" x14ac:dyDescent="0.25">
      <c r="A20" s="22" t="s">
        <v>18</v>
      </c>
      <c r="B20" s="23">
        <v>0.25</v>
      </c>
      <c r="C20" s="23">
        <v>2.75</v>
      </c>
      <c r="D20" s="23">
        <v>1.25</v>
      </c>
      <c r="E20" s="23"/>
      <c r="F20" s="23">
        <v>2</v>
      </c>
      <c r="G20" s="23"/>
      <c r="H20" s="23"/>
      <c r="I20" s="23">
        <v>0.5</v>
      </c>
      <c r="J20" s="23"/>
      <c r="K20" s="23"/>
      <c r="L20" s="23"/>
      <c r="M20" s="23"/>
      <c r="N20" s="23"/>
      <c r="O20" s="23"/>
      <c r="P20" s="24">
        <f t="shared" si="1"/>
        <v>6.75</v>
      </c>
    </row>
    <row r="21" spans="1:20" ht="20.25" customHeight="1" x14ac:dyDescent="0.2">
      <c r="A21" s="15" t="s">
        <v>39</v>
      </c>
      <c r="B21" s="14">
        <f t="shared" ref="B21:P21" si="2">SUM(B7:B20)</f>
        <v>7.5</v>
      </c>
      <c r="C21" s="14">
        <f t="shared" si="2"/>
        <v>11.75</v>
      </c>
      <c r="D21" s="14">
        <f t="shared" si="2"/>
        <v>6</v>
      </c>
      <c r="E21" s="14">
        <f t="shared" si="2"/>
        <v>12.25</v>
      </c>
      <c r="F21" s="14">
        <f t="shared" si="2"/>
        <v>11.5</v>
      </c>
      <c r="G21" s="14">
        <f t="shared" si="2"/>
        <v>4.25</v>
      </c>
      <c r="H21" s="14">
        <f t="shared" si="2"/>
        <v>0</v>
      </c>
      <c r="I21" s="14">
        <f t="shared" si="2"/>
        <v>8</v>
      </c>
      <c r="J21" s="14">
        <f t="shared" si="2"/>
        <v>7.25</v>
      </c>
      <c r="K21" s="14">
        <f t="shared" si="2"/>
        <v>9</v>
      </c>
      <c r="L21" s="14">
        <f t="shared" si="2"/>
        <v>6.75</v>
      </c>
      <c r="M21" s="14">
        <f t="shared" si="2"/>
        <v>9</v>
      </c>
      <c r="N21" s="14">
        <f t="shared" si="2"/>
        <v>0</v>
      </c>
      <c r="O21" s="14">
        <f t="shared" si="2"/>
        <v>0</v>
      </c>
      <c r="P21" s="14">
        <f t="shared" si="2"/>
        <v>93.25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53.25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203" priority="6" operator="greaterThan">
      <formula>8</formula>
    </cfRule>
    <cfRule type="cellIs" dxfId="202" priority="119" operator="equal">
      <formula>8</formula>
    </cfRule>
  </conditionalFormatting>
  <conditionalFormatting sqref="P7:P20">
    <cfRule type="cellIs" dxfId="201" priority="5" operator="greaterThan">
      <formula>80</formula>
    </cfRule>
  </conditionalFormatting>
  <conditionalFormatting sqref="P21">
    <cfRule type="cellIs" dxfId="200" priority="4" operator="greaterThan">
      <formula>80</formula>
    </cfRule>
    <cfRule type="cellIs" dxfId="199" priority="120" operator="equal">
      <formula>80</formula>
    </cfRule>
  </conditionalFormatting>
  <conditionalFormatting sqref="H22">
    <cfRule type="cellIs" dxfId="198" priority="3" operator="greaterThan">
      <formula>40</formula>
    </cfRule>
    <cfRule type="cellIs" dxfId="197" priority="121" operator="equal">
      <formula>40</formula>
    </cfRule>
  </conditionalFormatting>
  <conditionalFormatting sqref="O22">
    <cfRule type="cellIs" dxfId="196" priority="2" operator="greaterThan">
      <formula>40</formula>
    </cfRule>
    <cfRule type="cellIs" dxfId="195" priority="122" operator="equal">
      <formula>40</formula>
    </cfRule>
  </conditionalFormatting>
  <conditionalFormatting sqref="G21:H21 N21:O21">
    <cfRule type="cellIs" dxfId="19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3996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39969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T219"/>
  <sheetViews>
    <sheetView workbookViewId="0">
      <selection activeCell="N13" sqref="N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0.25</v>
      </c>
      <c r="C7" s="23">
        <v>0.75</v>
      </c>
      <c r="D7" s="23">
        <v>0.25</v>
      </c>
      <c r="E7" s="23">
        <v>0.5</v>
      </c>
      <c r="F7" s="23"/>
      <c r="G7" s="23"/>
      <c r="H7" s="23"/>
      <c r="I7" s="23"/>
      <c r="J7" s="23">
        <v>1.25</v>
      </c>
      <c r="K7" s="23">
        <v>1</v>
      </c>
      <c r="L7" s="23">
        <v>1</v>
      </c>
      <c r="M7" s="23">
        <v>1</v>
      </c>
      <c r="N7" s="23"/>
      <c r="O7" s="23"/>
      <c r="P7" s="24">
        <f t="shared" ref="P7:P18" si="1">SUM(B7:O7)</f>
        <v>6</v>
      </c>
    </row>
    <row r="8" spans="1:16" ht="20.25" customHeight="1" x14ac:dyDescent="0.25">
      <c r="A8" s="22" t="s">
        <v>29</v>
      </c>
      <c r="B8" s="23"/>
      <c r="C8" s="23">
        <v>0.5</v>
      </c>
      <c r="D8" s="23"/>
      <c r="E8" s="23"/>
      <c r="F8" s="23"/>
      <c r="G8" s="23"/>
      <c r="H8" s="23"/>
      <c r="I8" s="23"/>
      <c r="J8" s="23">
        <v>0.25</v>
      </c>
      <c r="K8" s="23">
        <v>0.75</v>
      </c>
      <c r="L8" s="23"/>
      <c r="M8" s="23">
        <v>1</v>
      </c>
      <c r="N8" s="23"/>
      <c r="O8" s="23"/>
      <c r="P8" s="24">
        <f t="shared" si="1"/>
        <v>2.5</v>
      </c>
    </row>
    <row r="9" spans="1:16" ht="20.25" customHeight="1" x14ac:dyDescent="0.25">
      <c r="A9" s="22" t="s">
        <v>26</v>
      </c>
      <c r="B9" s="23"/>
      <c r="C9" s="23"/>
      <c r="D9" s="23">
        <v>1.25</v>
      </c>
      <c r="E9" s="23"/>
      <c r="F9" s="23"/>
      <c r="G9" s="23"/>
      <c r="H9" s="23"/>
      <c r="I9" s="23"/>
      <c r="J9" s="23"/>
      <c r="K9" s="23"/>
      <c r="L9" s="23"/>
      <c r="M9" s="23">
        <v>1</v>
      </c>
      <c r="N9" s="23"/>
      <c r="O9" s="23"/>
      <c r="P9" s="24">
        <f t="shared" si="1"/>
        <v>2.25</v>
      </c>
    </row>
    <row r="10" spans="1:16" ht="20.25" customHeight="1" x14ac:dyDescent="0.25">
      <c r="A10" s="22" t="s">
        <v>53</v>
      </c>
      <c r="B10" s="23"/>
      <c r="C10" s="23">
        <v>0.5</v>
      </c>
      <c r="D10" s="23">
        <v>0.5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</v>
      </c>
    </row>
    <row r="11" spans="1:16" ht="20.25" customHeight="1" x14ac:dyDescent="0.25">
      <c r="A11" s="22" t="s">
        <v>20</v>
      </c>
      <c r="B11" s="23">
        <v>0.25</v>
      </c>
      <c r="C11" s="23"/>
      <c r="D11" s="23"/>
      <c r="E11" s="23"/>
      <c r="F11" s="23"/>
      <c r="G11" s="23"/>
      <c r="H11" s="23"/>
      <c r="I11" s="23"/>
      <c r="J11" s="23"/>
      <c r="K11" s="23">
        <v>1.25</v>
      </c>
      <c r="L11" s="23"/>
      <c r="M11" s="23"/>
      <c r="N11" s="23"/>
      <c r="O11" s="23"/>
      <c r="P11" s="24">
        <f t="shared" si="1"/>
        <v>1.5</v>
      </c>
    </row>
    <row r="12" spans="1:16" ht="20.25" customHeight="1" x14ac:dyDescent="0.25">
      <c r="A12" s="22" t="s">
        <v>21</v>
      </c>
      <c r="B12" s="23"/>
      <c r="C12" s="23">
        <v>2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54</v>
      </c>
      <c r="B13" s="23">
        <v>3.5</v>
      </c>
      <c r="C13" s="23"/>
      <c r="D13" s="23">
        <v>4.25</v>
      </c>
      <c r="E13" s="23">
        <v>5.5</v>
      </c>
      <c r="F13" s="23"/>
      <c r="G13" s="23"/>
      <c r="H13" s="23"/>
      <c r="I13" s="23"/>
      <c r="J13" s="23"/>
      <c r="K13" s="23">
        <v>2</v>
      </c>
      <c r="L13" s="23">
        <v>3</v>
      </c>
      <c r="M13" s="23">
        <v>3.25</v>
      </c>
      <c r="N13" s="23"/>
      <c r="O13" s="23"/>
      <c r="P13" s="24">
        <f t="shared" si="1"/>
        <v>21.5</v>
      </c>
    </row>
    <row r="14" spans="1:16" ht="20.25" customHeight="1" x14ac:dyDescent="0.25">
      <c r="A14" s="22" t="s">
        <v>30</v>
      </c>
      <c r="B14" s="23"/>
      <c r="C14" s="23">
        <v>1</v>
      </c>
      <c r="D14" s="23">
        <v>2</v>
      </c>
      <c r="E14" s="23"/>
      <c r="F14" s="23"/>
      <c r="G14" s="23"/>
      <c r="H14" s="23"/>
      <c r="I14" s="23"/>
      <c r="J14" s="23">
        <v>5.5</v>
      </c>
      <c r="K14" s="23">
        <v>1</v>
      </c>
      <c r="L14" s="23">
        <v>2</v>
      </c>
      <c r="M14" s="23">
        <v>1</v>
      </c>
      <c r="N14" s="23"/>
      <c r="O14" s="23"/>
      <c r="P14" s="24">
        <f t="shared" si="1"/>
        <v>12.5</v>
      </c>
    </row>
    <row r="15" spans="1:16" ht="20.25" customHeight="1" x14ac:dyDescent="0.25">
      <c r="A15" s="22" t="s">
        <v>28</v>
      </c>
      <c r="B15" s="23">
        <v>4</v>
      </c>
      <c r="C15" s="23"/>
      <c r="D15" s="23"/>
      <c r="E15" s="23">
        <v>1.75</v>
      </c>
      <c r="F15" s="23">
        <v>8</v>
      </c>
      <c r="G15" s="23"/>
      <c r="H15" s="23"/>
      <c r="I15" s="23">
        <v>8</v>
      </c>
      <c r="J15" s="23"/>
      <c r="K15" s="23"/>
      <c r="L15" s="23"/>
      <c r="M15" s="23"/>
      <c r="N15" s="23"/>
      <c r="O15" s="23"/>
      <c r="P15" s="24">
        <f t="shared" si="1"/>
        <v>21.75</v>
      </c>
    </row>
    <row r="16" spans="1:16" ht="20.25" customHeight="1" x14ac:dyDescent="0.25">
      <c r="A16" s="22" t="s">
        <v>22</v>
      </c>
      <c r="B16" s="23"/>
      <c r="C16" s="23">
        <v>1</v>
      </c>
      <c r="D16" s="23"/>
      <c r="E16" s="23"/>
      <c r="F16" s="23"/>
      <c r="G16" s="23"/>
      <c r="H16" s="23"/>
      <c r="I16" s="23"/>
      <c r="J16" s="23"/>
      <c r="K16" s="23">
        <v>2</v>
      </c>
      <c r="L16" s="23">
        <v>1.75</v>
      </c>
      <c r="M16" s="23"/>
      <c r="N16" s="23"/>
      <c r="O16" s="23"/>
      <c r="P16" s="24">
        <f t="shared" si="1"/>
        <v>4.75</v>
      </c>
    </row>
    <row r="17" spans="1:20" ht="20.25" customHeight="1" x14ac:dyDescent="0.25">
      <c r="A17" s="22" t="s">
        <v>55</v>
      </c>
      <c r="B17" s="23"/>
      <c r="C17" s="23">
        <v>2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2</v>
      </c>
    </row>
    <row r="18" spans="1:20" ht="20.25" customHeight="1" x14ac:dyDescent="0.25">
      <c r="A18" s="22" t="s">
        <v>18</v>
      </c>
      <c r="B18" s="23"/>
      <c r="C18" s="23">
        <v>0.25</v>
      </c>
      <c r="D18" s="23"/>
      <c r="E18" s="23"/>
      <c r="F18" s="23"/>
      <c r="G18" s="23"/>
      <c r="H18" s="23"/>
      <c r="I18" s="23"/>
      <c r="J18" s="23">
        <v>1</v>
      </c>
      <c r="K18" s="23"/>
      <c r="L18" s="23"/>
      <c r="M18" s="23">
        <v>1</v>
      </c>
      <c r="N18" s="23"/>
      <c r="O18" s="23"/>
      <c r="P18" s="24">
        <f t="shared" si="1"/>
        <v>2.25</v>
      </c>
    </row>
    <row r="19" spans="1:20" ht="20.25" customHeight="1" x14ac:dyDescent="0.2">
      <c r="A19" s="15" t="s">
        <v>39</v>
      </c>
      <c r="B19" s="14">
        <f t="shared" ref="B19:P19" si="2">SUM(B7:B18)</f>
        <v>8</v>
      </c>
      <c r="C19" s="14">
        <f t="shared" si="2"/>
        <v>8</v>
      </c>
      <c r="D19" s="14">
        <f t="shared" si="2"/>
        <v>8.25</v>
      </c>
      <c r="E19" s="14">
        <f t="shared" si="2"/>
        <v>7.75</v>
      </c>
      <c r="F19" s="14">
        <f t="shared" si="2"/>
        <v>8</v>
      </c>
      <c r="G19" s="14">
        <f t="shared" si="2"/>
        <v>0</v>
      </c>
      <c r="H19" s="14">
        <f t="shared" si="2"/>
        <v>0</v>
      </c>
      <c r="I19" s="14">
        <f t="shared" si="2"/>
        <v>8</v>
      </c>
      <c r="J19" s="14">
        <f t="shared" si="2"/>
        <v>8</v>
      </c>
      <c r="K19" s="14">
        <f t="shared" si="2"/>
        <v>8</v>
      </c>
      <c r="L19" s="14">
        <f t="shared" si="2"/>
        <v>7.75</v>
      </c>
      <c r="M19" s="14">
        <f t="shared" si="2"/>
        <v>8.25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93" priority="6" operator="greaterThan">
      <formula>8</formula>
    </cfRule>
    <cfRule type="cellIs" dxfId="192" priority="95" operator="equal">
      <formula>8</formula>
    </cfRule>
  </conditionalFormatting>
  <conditionalFormatting sqref="P7:P18">
    <cfRule type="cellIs" dxfId="191" priority="5" operator="greaterThan">
      <formula>80</formula>
    </cfRule>
  </conditionalFormatting>
  <conditionalFormatting sqref="P19">
    <cfRule type="cellIs" dxfId="190" priority="4" operator="greaterThan">
      <formula>80</formula>
    </cfRule>
    <cfRule type="cellIs" dxfId="189" priority="96" operator="equal">
      <formula>80</formula>
    </cfRule>
  </conditionalFormatting>
  <conditionalFormatting sqref="H20">
    <cfRule type="cellIs" dxfId="188" priority="3" operator="greaterThan">
      <formula>40</formula>
    </cfRule>
    <cfRule type="cellIs" dxfId="187" priority="97" operator="equal">
      <formula>40</formula>
    </cfRule>
  </conditionalFormatting>
  <conditionalFormatting sqref="O20">
    <cfRule type="cellIs" dxfId="186" priority="2" operator="greaterThan">
      <formula>40</formula>
    </cfRule>
    <cfRule type="cellIs" dxfId="185" priority="98" operator="equal">
      <formula>40</formula>
    </cfRule>
  </conditionalFormatting>
  <conditionalFormatting sqref="G19:H19 N19:O19">
    <cfRule type="cellIs" dxfId="18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33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13345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T218"/>
  <sheetViews>
    <sheetView workbookViewId="0">
      <selection activeCell="S21" sqref="S21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41477</v>
      </c>
      <c r="C5" s="12">
        <f>B5+1</f>
        <v>41478</v>
      </c>
      <c r="D5" s="12">
        <f t="shared" ref="D5:O5" si="0">C5+1</f>
        <v>41479</v>
      </c>
      <c r="E5" s="12">
        <f t="shared" si="0"/>
        <v>41480</v>
      </c>
      <c r="F5" s="12">
        <f t="shared" si="0"/>
        <v>41481</v>
      </c>
      <c r="G5" s="12">
        <f t="shared" si="0"/>
        <v>41482</v>
      </c>
      <c r="H5" s="12">
        <f t="shared" si="0"/>
        <v>41483</v>
      </c>
      <c r="I5" s="12">
        <f t="shared" si="0"/>
        <v>41484</v>
      </c>
      <c r="J5" s="12">
        <f t="shared" si="0"/>
        <v>41485</v>
      </c>
      <c r="K5" s="12">
        <f t="shared" si="0"/>
        <v>41486</v>
      </c>
      <c r="L5" s="12">
        <f t="shared" si="0"/>
        <v>41487</v>
      </c>
      <c r="M5" s="12">
        <f t="shared" si="0"/>
        <v>41488</v>
      </c>
      <c r="N5" s="12">
        <f t="shared" si="0"/>
        <v>41489</v>
      </c>
      <c r="O5" s="12">
        <f t="shared" si="0"/>
        <v>41490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2.25</v>
      </c>
      <c r="C7" s="23">
        <v>1</v>
      </c>
      <c r="D7" s="23"/>
      <c r="E7" s="23">
        <v>1</v>
      </c>
      <c r="F7" s="23">
        <v>0.5</v>
      </c>
      <c r="G7" s="23"/>
      <c r="H7" s="23"/>
      <c r="I7" s="23">
        <v>1</v>
      </c>
      <c r="J7" s="23">
        <v>1</v>
      </c>
      <c r="K7" s="23">
        <v>1</v>
      </c>
      <c r="L7" s="23">
        <v>1</v>
      </c>
      <c r="M7" s="23">
        <v>2</v>
      </c>
      <c r="N7" s="23"/>
      <c r="O7" s="23"/>
      <c r="P7" s="24">
        <f t="shared" ref="P7:P17" si="1">SUM(B7:O7)</f>
        <v>10.75</v>
      </c>
    </row>
    <row r="8" spans="1:16" ht="20.25" customHeight="1" x14ac:dyDescent="0.25">
      <c r="A8" s="22" t="s">
        <v>29</v>
      </c>
      <c r="B8" s="23"/>
      <c r="C8" s="23"/>
      <c r="D8" s="23">
        <v>1</v>
      </c>
      <c r="E8" s="23"/>
      <c r="F8" s="23"/>
      <c r="G8" s="23"/>
      <c r="H8" s="23"/>
      <c r="I8" s="23">
        <v>0.5</v>
      </c>
      <c r="J8" s="23"/>
      <c r="K8" s="23"/>
      <c r="L8" s="23">
        <v>0.25</v>
      </c>
      <c r="M8" s="23"/>
      <c r="N8" s="23"/>
      <c r="O8" s="23"/>
      <c r="P8" s="24">
        <f t="shared" si="1"/>
        <v>1.75</v>
      </c>
    </row>
    <row r="9" spans="1:16" ht="20.25" customHeight="1" x14ac:dyDescent="0.25">
      <c r="A9" s="22" t="s">
        <v>26</v>
      </c>
      <c r="B9" s="23">
        <v>0.25</v>
      </c>
      <c r="C9" s="23">
        <v>1</v>
      </c>
      <c r="D9" s="23"/>
      <c r="E9" s="23"/>
      <c r="F9" s="23"/>
      <c r="G9" s="23"/>
      <c r="H9" s="23"/>
      <c r="I9" s="23"/>
      <c r="J9" s="23">
        <v>4</v>
      </c>
      <c r="K9" s="23">
        <v>3.5</v>
      </c>
      <c r="L9" s="23"/>
      <c r="M9" s="23"/>
      <c r="N9" s="23"/>
      <c r="O9" s="23"/>
      <c r="P9" s="24">
        <f t="shared" si="1"/>
        <v>8.75</v>
      </c>
    </row>
    <row r="10" spans="1:16" ht="20.25" customHeight="1" x14ac:dyDescent="0.25">
      <c r="A10" s="22" t="s">
        <v>20</v>
      </c>
      <c r="B10" s="23">
        <v>1.5</v>
      </c>
      <c r="C10" s="23">
        <v>0.75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2.25</v>
      </c>
    </row>
    <row r="11" spans="1:16" ht="20.25" customHeight="1" x14ac:dyDescent="0.25">
      <c r="A11" s="22" t="s">
        <v>21</v>
      </c>
      <c r="B11" s="23"/>
      <c r="C11" s="23"/>
      <c r="D11" s="23">
        <v>1.5</v>
      </c>
      <c r="E11" s="23"/>
      <c r="F11" s="23"/>
      <c r="G11" s="23"/>
      <c r="H11" s="23"/>
      <c r="I11" s="23">
        <v>1.5</v>
      </c>
      <c r="J11" s="23"/>
      <c r="K11" s="23"/>
      <c r="L11" s="23"/>
      <c r="M11" s="23"/>
      <c r="N11" s="23"/>
      <c r="O11" s="23"/>
      <c r="P11" s="24">
        <f t="shared" si="1"/>
        <v>3</v>
      </c>
    </row>
    <row r="12" spans="1:16" ht="20.25" customHeight="1" x14ac:dyDescent="0.25">
      <c r="A12" s="22" t="s">
        <v>54</v>
      </c>
      <c r="B12" s="23">
        <v>2.75</v>
      </c>
      <c r="C12" s="23">
        <v>3.5</v>
      </c>
      <c r="D12" s="23">
        <v>1.25</v>
      </c>
      <c r="E12" s="23">
        <v>3.25</v>
      </c>
      <c r="F12" s="23">
        <v>3.75</v>
      </c>
      <c r="G12" s="23"/>
      <c r="H12" s="23"/>
      <c r="I12" s="23">
        <v>2</v>
      </c>
      <c r="J12" s="23">
        <v>3.25</v>
      </c>
      <c r="K12" s="23">
        <v>1.5</v>
      </c>
      <c r="L12" s="23">
        <v>3</v>
      </c>
      <c r="M12" s="23"/>
      <c r="N12" s="23"/>
      <c r="O12" s="23"/>
      <c r="P12" s="24">
        <f t="shared" si="1"/>
        <v>24.25</v>
      </c>
    </row>
    <row r="13" spans="1:16" ht="20.25" customHeight="1" x14ac:dyDescent="0.25">
      <c r="A13" s="22" t="s">
        <v>30</v>
      </c>
      <c r="B13" s="23"/>
      <c r="C13" s="23">
        <v>1.5</v>
      </c>
      <c r="D13" s="23">
        <v>2</v>
      </c>
      <c r="E13" s="23">
        <v>1</v>
      </c>
      <c r="F13" s="23"/>
      <c r="G13" s="23"/>
      <c r="H13" s="23"/>
      <c r="I13" s="23">
        <v>0.5</v>
      </c>
      <c r="J13" s="23"/>
      <c r="K13" s="23">
        <v>0.75</v>
      </c>
      <c r="L13" s="23">
        <v>4</v>
      </c>
      <c r="M13" s="23">
        <v>4.25</v>
      </c>
      <c r="N13" s="23"/>
      <c r="O13" s="23"/>
      <c r="P13" s="24">
        <f t="shared" si="1"/>
        <v>14</v>
      </c>
    </row>
    <row r="14" spans="1:16" ht="20.25" customHeight="1" x14ac:dyDescent="0.25">
      <c r="A14" s="22" t="s">
        <v>28</v>
      </c>
      <c r="B14" s="23"/>
      <c r="C14" s="23"/>
      <c r="D14" s="23"/>
      <c r="E14" s="23">
        <v>3</v>
      </c>
      <c r="F14" s="23">
        <v>2</v>
      </c>
      <c r="G14" s="23"/>
      <c r="H14" s="23"/>
      <c r="I14" s="23"/>
      <c r="J14" s="23"/>
      <c r="K14" s="23"/>
      <c r="L14" s="23"/>
      <c r="M14" s="23">
        <v>3.5</v>
      </c>
      <c r="N14" s="23"/>
      <c r="O14" s="23"/>
      <c r="P14" s="24">
        <f t="shared" si="1"/>
        <v>8.5</v>
      </c>
    </row>
    <row r="15" spans="1:16" ht="20.25" customHeight="1" x14ac:dyDescent="0.25">
      <c r="A15" s="22" t="s">
        <v>22</v>
      </c>
      <c r="B15" s="23"/>
      <c r="C15" s="23"/>
      <c r="D15" s="23"/>
      <c r="E15" s="23"/>
      <c r="F15" s="23">
        <v>2.25</v>
      </c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2.25</v>
      </c>
    </row>
    <row r="16" spans="1:16" ht="20.25" customHeight="1" x14ac:dyDescent="0.25">
      <c r="A16" s="22" t="s">
        <v>55</v>
      </c>
      <c r="B16" s="23"/>
      <c r="C16" s="23"/>
      <c r="D16" s="23">
        <v>2</v>
      </c>
      <c r="E16" s="23"/>
      <c r="F16" s="23">
        <v>0.5</v>
      </c>
      <c r="G16" s="23"/>
      <c r="H16" s="23"/>
      <c r="I16" s="23">
        <v>1.5</v>
      </c>
      <c r="J16" s="23"/>
      <c r="K16" s="23"/>
      <c r="L16" s="23"/>
      <c r="M16" s="23"/>
      <c r="N16" s="23"/>
      <c r="O16" s="23"/>
      <c r="P16" s="24">
        <f t="shared" si="1"/>
        <v>4</v>
      </c>
    </row>
    <row r="17" spans="1:20" ht="20.25" customHeight="1" x14ac:dyDescent="0.25">
      <c r="A17" s="22" t="s">
        <v>18</v>
      </c>
      <c r="B17" s="23"/>
      <c r="C17" s="23"/>
      <c r="D17" s="23"/>
      <c r="E17" s="23">
        <v>0.5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0.5</v>
      </c>
    </row>
    <row r="18" spans="1:20" ht="20.25" customHeight="1" x14ac:dyDescent="0.2">
      <c r="A18" s="15" t="s">
        <v>39</v>
      </c>
      <c r="B18" s="14">
        <f t="shared" ref="B18:P18" si="2">SUM(B7:B17)</f>
        <v>6.75</v>
      </c>
      <c r="C18" s="14">
        <f t="shared" si="2"/>
        <v>7.75</v>
      </c>
      <c r="D18" s="14">
        <f t="shared" si="2"/>
        <v>7.75</v>
      </c>
      <c r="E18" s="14">
        <f t="shared" si="2"/>
        <v>8.75</v>
      </c>
      <c r="F18" s="14">
        <f t="shared" si="2"/>
        <v>9</v>
      </c>
      <c r="G18" s="14">
        <f t="shared" si="2"/>
        <v>0</v>
      </c>
      <c r="H18" s="14">
        <f t="shared" si="2"/>
        <v>0</v>
      </c>
      <c r="I18" s="14">
        <f t="shared" si="2"/>
        <v>7</v>
      </c>
      <c r="J18" s="14">
        <f t="shared" si="2"/>
        <v>8.25</v>
      </c>
      <c r="K18" s="14">
        <f t="shared" si="2"/>
        <v>6.75</v>
      </c>
      <c r="L18" s="14">
        <f t="shared" si="2"/>
        <v>8.25</v>
      </c>
      <c r="M18" s="14">
        <f t="shared" si="2"/>
        <v>9.75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40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83" priority="6" operator="greaterThan">
      <formula>8</formula>
    </cfRule>
    <cfRule type="cellIs" dxfId="182" priority="87" operator="equal">
      <formula>8</formula>
    </cfRule>
  </conditionalFormatting>
  <conditionalFormatting sqref="P7:P17">
    <cfRule type="cellIs" dxfId="181" priority="5" operator="greaterThan">
      <formula>80</formula>
    </cfRule>
  </conditionalFormatting>
  <conditionalFormatting sqref="P18">
    <cfRule type="cellIs" dxfId="180" priority="4" operator="greaterThan">
      <formula>80</formula>
    </cfRule>
    <cfRule type="cellIs" dxfId="179" priority="88" operator="equal">
      <formula>80</formula>
    </cfRule>
  </conditionalFormatting>
  <conditionalFormatting sqref="H19">
    <cfRule type="cellIs" dxfId="178" priority="3" operator="greaterThan">
      <formula>40</formula>
    </cfRule>
    <cfRule type="cellIs" dxfId="177" priority="89" operator="equal">
      <formula>40</formula>
    </cfRule>
  </conditionalFormatting>
  <conditionalFormatting sqref="O19">
    <cfRule type="cellIs" dxfId="176" priority="2" operator="greaterThan">
      <formula>40</formula>
    </cfRule>
    <cfRule type="cellIs" dxfId="175" priority="90" operator="equal">
      <formula>40</formula>
    </cfRule>
  </conditionalFormatting>
  <conditionalFormatting sqref="G18:H18 N18:O18">
    <cfRule type="cellIs" dxfId="17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86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86721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T218"/>
  <sheetViews>
    <sheetView workbookViewId="0">
      <selection activeCell="N7" sqref="N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1</v>
      </c>
      <c r="D7" s="23">
        <v>1</v>
      </c>
      <c r="E7" s="23">
        <v>0.25</v>
      </c>
      <c r="F7" s="23">
        <v>0.25</v>
      </c>
      <c r="G7" s="23"/>
      <c r="H7" s="23"/>
      <c r="I7" s="23">
        <v>1.25</v>
      </c>
      <c r="J7" s="23">
        <v>1</v>
      </c>
      <c r="K7" s="23">
        <v>1</v>
      </c>
      <c r="L7" s="23">
        <v>2.25</v>
      </c>
      <c r="M7" s="23">
        <v>1</v>
      </c>
      <c r="N7" s="23"/>
      <c r="O7" s="23"/>
      <c r="P7" s="24">
        <f t="shared" ref="P7:P17" si="1">SUM(B7:O7)</f>
        <v>10.5</v>
      </c>
    </row>
    <row r="8" spans="1:16" ht="20.25" customHeight="1" x14ac:dyDescent="0.25">
      <c r="A8" s="22" t="s">
        <v>29</v>
      </c>
      <c r="B8" s="23">
        <v>0.25</v>
      </c>
      <c r="C8" s="23">
        <v>0.75</v>
      </c>
      <c r="D8" s="23">
        <v>2</v>
      </c>
      <c r="E8" s="23">
        <v>0.25</v>
      </c>
      <c r="F8" s="23"/>
      <c r="G8" s="23"/>
      <c r="H8" s="23"/>
      <c r="I8" s="23">
        <v>0.5</v>
      </c>
      <c r="J8" s="23"/>
      <c r="K8" s="23">
        <v>0.25</v>
      </c>
      <c r="L8" s="23"/>
      <c r="M8" s="23"/>
      <c r="N8" s="23"/>
      <c r="O8" s="23"/>
      <c r="P8" s="24">
        <f t="shared" si="1"/>
        <v>4</v>
      </c>
    </row>
    <row r="9" spans="1:16" ht="20.25" customHeight="1" x14ac:dyDescent="0.25">
      <c r="A9" s="22" t="s">
        <v>26</v>
      </c>
      <c r="B9" s="23"/>
      <c r="C9" s="23"/>
      <c r="D9" s="23">
        <v>0.5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/>
      <c r="G10" s="23"/>
      <c r="H10" s="23"/>
      <c r="I10" s="23"/>
      <c r="J10" s="23"/>
      <c r="K10" s="23">
        <v>2.75</v>
      </c>
      <c r="L10" s="23"/>
      <c r="M10" s="23"/>
      <c r="N10" s="23"/>
      <c r="O10" s="23"/>
      <c r="P10" s="24">
        <f t="shared" si="1"/>
        <v>2.75</v>
      </c>
    </row>
    <row r="11" spans="1:16" ht="20.25" customHeight="1" x14ac:dyDescent="0.25">
      <c r="A11" s="22" t="s">
        <v>20</v>
      </c>
      <c r="B11" s="23">
        <v>0.25</v>
      </c>
      <c r="C11" s="23">
        <v>1</v>
      </c>
      <c r="D11" s="23"/>
      <c r="E11" s="23"/>
      <c r="F11" s="23"/>
      <c r="G11" s="23"/>
      <c r="H11" s="23"/>
      <c r="I11" s="23"/>
      <c r="J11" s="23">
        <v>0.75</v>
      </c>
      <c r="K11" s="23"/>
      <c r="L11" s="23"/>
      <c r="M11" s="23">
        <v>4</v>
      </c>
      <c r="N11" s="23"/>
      <c r="O11" s="23"/>
      <c r="P11" s="24">
        <f t="shared" si="1"/>
        <v>6</v>
      </c>
    </row>
    <row r="12" spans="1:16" ht="20.25" customHeight="1" x14ac:dyDescent="0.25">
      <c r="A12" s="22" t="s">
        <v>21</v>
      </c>
      <c r="B12" s="23"/>
      <c r="C12" s="23"/>
      <c r="D12" s="23"/>
      <c r="E12" s="23">
        <v>2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54</v>
      </c>
      <c r="B13" s="23">
        <v>2.5</v>
      </c>
      <c r="C13" s="23">
        <v>2</v>
      </c>
      <c r="D13" s="23">
        <v>2.5</v>
      </c>
      <c r="E13" s="23">
        <v>2</v>
      </c>
      <c r="F13" s="23">
        <v>0.5</v>
      </c>
      <c r="G13" s="23"/>
      <c r="H13" s="23"/>
      <c r="I13" s="23">
        <v>1.25</v>
      </c>
      <c r="J13" s="23">
        <v>1.75</v>
      </c>
      <c r="K13" s="23">
        <v>0.75</v>
      </c>
      <c r="L13" s="23">
        <v>2.25</v>
      </c>
      <c r="M13" s="23">
        <v>3</v>
      </c>
      <c r="N13" s="23"/>
      <c r="O13" s="23"/>
      <c r="P13" s="24">
        <f t="shared" si="1"/>
        <v>18.5</v>
      </c>
    </row>
    <row r="14" spans="1:16" ht="20.25" customHeight="1" x14ac:dyDescent="0.25">
      <c r="A14" s="22" t="s">
        <v>30</v>
      </c>
      <c r="B14" s="23">
        <v>3.5</v>
      </c>
      <c r="C14" s="23">
        <v>3</v>
      </c>
      <c r="D14" s="23">
        <v>2</v>
      </c>
      <c r="E14" s="23">
        <v>4.75</v>
      </c>
      <c r="F14" s="23">
        <v>6</v>
      </c>
      <c r="G14" s="23"/>
      <c r="H14" s="23"/>
      <c r="I14" s="23">
        <v>4</v>
      </c>
      <c r="J14" s="23">
        <v>4</v>
      </c>
      <c r="K14" s="23">
        <v>1</v>
      </c>
      <c r="L14" s="23">
        <v>3</v>
      </c>
      <c r="M14" s="23">
        <v>1</v>
      </c>
      <c r="N14" s="23"/>
      <c r="O14" s="23"/>
      <c r="P14" s="24">
        <f t="shared" si="1"/>
        <v>32.25</v>
      </c>
    </row>
    <row r="15" spans="1:16" ht="20.25" customHeight="1" x14ac:dyDescent="0.25">
      <c r="A15" s="22" t="s">
        <v>23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4.75</v>
      </c>
      <c r="O15" s="23"/>
      <c r="P15" s="24">
        <f t="shared" si="1"/>
        <v>4.75</v>
      </c>
    </row>
    <row r="16" spans="1:16" ht="20.25" customHeight="1" x14ac:dyDescent="0.25">
      <c r="A16" s="22" t="s">
        <v>55</v>
      </c>
      <c r="B16" s="23"/>
      <c r="C16" s="23"/>
      <c r="D16" s="23"/>
      <c r="E16" s="23">
        <v>0.25</v>
      </c>
      <c r="F16" s="23"/>
      <c r="G16" s="23"/>
      <c r="H16" s="23"/>
      <c r="I16" s="23"/>
      <c r="J16" s="23"/>
      <c r="K16" s="23">
        <v>2.75</v>
      </c>
      <c r="L16" s="23"/>
      <c r="M16" s="23"/>
      <c r="N16" s="23"/>
      <c r="O16" s="23"/>
      <c r="P16" s="24">
        <f t="shared" si="1"/>
        <v>3</v>
      </c>
    </row>
    <row r="17" spans="1:20" ht="20.25" customHeight="1" x14ac:dyDescent="0.25">
      <c r="A17" s="22" t="s">
        <v>18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0.5</v>
      </c>
      <c r="M17" s="23"/>
      <c r="N17" s="23"/>
      <c r="O17" s="23"/>
      <c r="P17" s="24">
        <f t="shared" si="1"/>
        <v>0.5</v>
      </c>
    </row>
    <row r="18" spans="1:20" ht="20.25" customHeight="1" x14ac:dyDescent="0.2">
      <c r="A18" s="15" t="s">
        <v>39</v>
      </c>
      <c r="B18" s="14">
        <f t="shared" ref="B18:P18" si="2">SUM(B7:B17)</f>
        <v>8</v>
      </c>
      <c r="C18" s="14">
        <f t="shared" si="2"/>
        <v>7.75</v>
      </c>
      <c r="D18" s="14">
        <f t="shared" si="2"/>
        <v>8</v>
      </c>
      <c r="E18" s="14">
        <f t="shared" si="2"/>
        <v>9.5</v>
      </c>
      <c r="F18" s="14">
        <f t="shared" si="2"/>
        <v>6.75</v>
      </c>
      <c r="G18" s="14">
        <f t="shared" si="2"/>
        <v>0</v>
      </c>
      <c r="H18" s="14">
        <f t="shared" si="2"/>
        <v>0</v>
      </c>
      <c r="I18" s="14">
        <f t="shared" si="2"/>
        <v>7</v>
      </c>
      <c r="J18" s="14">
        <f t="shared" si="2"/>
        <v>7.5</v>
      </c>
      <c r="K18" s="14">
        <f t="shared" si="2"/>
        <v>8.5</v>
      </c>
      <c r="L18" s="14">
        <f t="shared" si="2"/>
        <v>8</v>
      </c>
      <c r="M18" s="14">
        <f t="shared" si="2"/>
        <v>9</v>
      </c>
      <c r="N18" s="14">
        <f t="shared" si="2"/>
        <v>4.75</v>
      </c>
      <c r="O18" s="14">
        <f t="shared" si="2"/>
        <v>0</v>
      </c>
      <c r="P18" s="14">
        <f t="shared" si="2"/>
        <v>84.75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44.75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73" priority="6" operator="greaterThan">
      <formula>8</formula>
    </cfRule>
    <cfRule type="cellIs" dxfId="172" priority="87" operator="equal">
      <formula>8</formula>
    </cfRule>
  </conditionalFormatting>
  <conditionalFormatting sqref="P7:P17">
    <cfRule type="cellIs" dxfId="171" priority="5" operator="greaterThan">
      <formula>80</formula>
    </cfRule>
  </conditionalFormatting>
  <conditionalFormatting sqref="P18">
    <cfRule type="cellIs" dxfId="170" priority="4" operator="greaterThan">
      <formula>80</formula>
    </cfRule>
    <cfRule type="cellIs" dxfId="169" priority="88" operator="equal">
      <formula>80</formula>
    </cfRule>
  </conditionalFormatting>
  <conditionalFormatting sqref="H19">
    <cfRule type="cellIs" dxfId="168" priority="3" operator="greaterThan">
      <formula>40</formula>
    </cfRule>
    <cfRule type="cellIs" dxfId="167" priority="89" operator="equal">
      <formula>40</formula>
    </cfRule>
  </conditionalFormatting>
  <conditionalFormatting sqref="O19">
    <cfRule type="cellIs" dxfId="166" priority="2" operator="greaterThan">
      <formula>40</formula>
    </cfRule>
    <cfRule type="cellIs" dxfId="165" priority="90" operator="equal">
      <formula>40</formula>
    </cfRule>
  </conditionalFormatting>
  <conditionalFormatting sqref="G18:H18 N18:O18">
    <cfRule type="cellIs" dxfId="16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62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62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T221"/>
  <sheetViews>
    <sheetView workbookViewId="0">
      <selection activeCell="U3" sqref="U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3</v>
      </c>
      <c r="C7" s="23">
        <v>2</v>
      </c>
      <c r="D7" s="23">
        <v>2</v>
      </c>
      <c r="E7" s="23">
        <v>1</v>
      </c>
      <c r="F7" s="23">
        <v>0.5</v>
      </c>
      <c r="G7" s="23"/>
      <c r="H7" s="23"/>
      <c r="I7" s="23">
        <v>2.75</v>
      </c>
      <c r="J7" s="23">
        <v>1</v>
      </c>
      <c r="K7" s="23">
        <v>1</v>
      </c>
      <c r="L7" s="23"/>
      <c r="M7" s="23"/>
      <c r="N7" s="23"/>
      <c r="O7" s="23"/>
      <c r="P7" s="24">
        <f t="shared" ref="P7:P20" si="1">SUM(B7:O7)</f>
        <v>13.25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>
        <v>0.5</v>
      </c>
      <c r="H8" s="23"/>
      <c r="I8" s="23"/>
      <c r="J8" s="23">
        <v>0.25</v>
      </c>
      <c r="K8" s="23">
        <v>1</v>
      </c>
      <c r="L8" s="23"/>
      <c r="M8" s="23"/>
      <c r="N8" s="23"/>
      <c r="O8" s="23"/>
      <c r="P8" s="24">
        <f t="shared" si="1"/>
        <v>3.25</v>
      </c>
    </row>
    <row r="9" spans="1:16" ht="20.25" customHeight="1" x14ac:dyDescent="0.25">
      <c r="A9" s="22" t="s">
        <v>26</v>
      </c>
      <c r="B9" s="23"/>
      <c r="C9" s="23">
        <v>0.75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0.75</v>
      </c>
    </row>
    <row r="10" spans="1:16" ht="20.25" customHeight="1" x14ac:dyDescent="0.25">
      <c r="A10" s="22" t="s">
        <v>52</v>
      </c>
      <c r="B10" s="23"/>
      <c r="C10" s="23"/>
      <c r="D10" s="23"/>
      <c r="E10" s="23">
        <v>2</v>
      </c>
      <c r="F10" s="23">
        <v>10</v>
      </c>
      <c r="G10" s="23">
        <v>4.5</v>
      </c>
      <c r="H10" s="23"/>
      <c r="I10" s="23"/>
      <c r="J10" s="23"/>
      <c r="K10" s="23"/>
      <c r="L10" s="23"/>
      <c r="M10" s="23"/>
      <c r="N10" s="23"/>
      <c r="O10" s="23"/>
      <c r="P10" s="24">
        <f t="shared" si="1"/>
        <v>16.5</v>
      </c>
    </row>
    <row r="11" spans="1:16" ht="20.25" customHeight="1" x14ac:dyDescent="0.25">
      <c r="A11" s="22" t="s">
        <v>27</v>
      </c>
      <c r="B11" s="23">
        <v>1.25</v>
      </c>
      <c r="C11" s="23"/>
      <c r="D11" s="23">
        <v>0.5</v>
      </c>
      <c r="E11" s="23">
        <v>1</v>
      </c>
      <c r="F11" s="23"/>
      <c r="G11" s="23"/>
      <c r="H11" s="23"/>
      <c r="I11" s="23"/>
      <c r="J11" s="23"/>
      <c r="K11" s="23">
        <v>1</v>
      </c>
      <c r="L11" s="23"/>
      <c r="M11" s="23"/>
      <c r="N11" s="23"/>
      <c r="O11" s="23"/>
      <c r="P11" s="24">
        <f t="shared" si="1"/>
        <v>3.75</v>
      </c>
    </row>
    <row r="12" spans="1:16" ht="20.25" customHeight="1" x14ac:dyDescent="0.25">
      <c r="A12" s="22" t="s">
        <v>20</v>
      </c>
      <c r="B12" s="23"/>
      <c r="C12" s="23"/>
      <c r="D12" s="23"/>
      <c r="E12" s="23"/>
      <c r="F12" s="23">
        <v>0.25</v>
      </c>
      <c r="G12" s="23"/>
      <c r="H12" s="23"/>
      <c r="I12" s="23">
        <v>2</v>
      </c>
      <c r="J12" s="23">
        <v>0.5</v>
      </c>
      <c r="K12" s="23"/>
      <c r="L12" s="23"/>
      <c r="M12" s="23"/>
      <c r="N12" s="23"/>
      <c r="O12" s="23"/>
      <c r="P12" s="24">
        <f t="shared" si="1"/>
        <v>2.75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>
        <v>2</v>
      </c>
      <c r="K13" s="23"/>
      <c r="L13" s="23"/>
      <c r="M13" s="23"/>
      <c r="N13" s="23"/>
      <c r="O13" s="23"/>
      <c r="P13" s="24">
        <f t="shared" si="1"/>
        <v>2</v>
      </c>
    </row>
    <row r="14" spans="1:16" ht="20.25" customHeight="1" x14ac:dyDescent="0.25">
      <c r="A14" s="22" t="s">
        <v>19</v>
      </c>
      <c r="B14" s="23"/>
      <c r="C14" s="23"/>
      <c r="D14" s="23"/>
      <c r="E14" s="23">
        <v>2.5</v>
      </c>
      <c r="F14" s="23"/>
      <c r="G14" s="23"/>
      <c r="H14" s="23"/>
      <c r="I14" s="23">
        <v>1</v>
      </c>
      <c r="J14" s="23"/>
      <c r="K14" s="23"/>
      <c r="L14" s="23"/>
      <c r="M14" s="23"/>
      <c r="N14" s="23"/>
      <c r="O14" s="23"/>
      <c r="P14" s="24">
        <f t="shared" si="1"/>
        <v>3.5</v>
      </c>
    </row>
    <row r="15" spans="1:16" ht="20.25" customHeight="1" x14ac:dyDescent="0.25">
      <c r="A15" s="22" t="s">
        <v>54</v>
      </c>
      <c r="B15" s="23">
        <v>3</v>
      </c>
      <c r="C15" s="23">
        <v>2.5</v>
      </c>
      <c r="D15" s="23">
        <v>2.5</v>
      </c>
      <c r="E15" s="23">
        <v>1</v>
      </c>
      <c r="F15" s="23"/>
      <c r="G15" s="23"/>
      <c r="H15" s="23"/>
      <c r="I15" s="23">
        <v>3</v>
      </c>
      <c r="J15" s="23">
        <v>3</v>
      </c>
      <c r="K15" s="23">
        <v>2</v>
      </c>
      <c r="L15" s="23"/>
      <c r="M15" s="23"/>
      <c r="N15" s="23"/>
      <c r="O15" s="23"/>
      <c r="P15" s="24">
        <f t="shared" si="1"/>
        <v>17</v>
      </c>
    </row>
    <row r="16" spans="1:16" ht="20.25" customHeight="1" x14ac:dyDescent="0.25">
      <c r="A16" s="22" t="s">
        <v>30</v>
      </c>
      <c r="B16" s="23"/>
      <c r="C16" s="23">
        <v>1.25</v>
      </c>
      <c r="D16" s="23">
        <v>3</v>
      </c>
      <c r="E16" s="23">
        <v>1.25</v>
      </c>
      <c r="F16" s="23"/>
      <c r="G16" s="23"/>
      <c r="H16" s="23"/>
      <c r="I16" s="23"/>
      <c r="J16" s="23">
        <v>1.5</v>
      </c>
      <c r="K16" s="23">
        <v>0.75</v>
      </c>
      <c r="L16" s="23"/>
      <c r="M16" s="23"/>
      <c r="N16" s="23"/>
      <c r="O16" s="23"/>
      <c r="P16" s="24">
        <f t="shared" si="1"/>
        <v>7.75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8</v>
      </c>
      <c r="M17" s="23">
        <v>3.5</v>
      </c>
      <c r="N17" s="23"/>
      <c r="O17" s="23"/>
      <c r="P17" s="24">
        <f t="shared" si="1"/>
        <v>11.5</v>
      </c>
    </row>
    <row r="18" spans="1:20" ht="20.25" customHeight="1" x14ac:dyDescent="0.25">
      <c r="A18" s="22" t="s">
        <v>23</v>
      </c>
      <c r="B18" s="23">
        <v>1.75</v>
      </c>
      <c r="C18" s="23"/>
      <c r="D18" s="23"/>
      <c r="E18" s="23"/>
      <c r="F18" s="23"/>
      <c r="G18" s="23"/>
      <c r="H18" s="23"/>
      <c r="I18" s="23"/>
      <c r="J18" s="23">
        <v>1.75</v>
      </c>
      <c r="K18" s="23"/>
      <c r="L18" s="23"/>
      <c r="M18" s="23"/>
      <c r="N18" s="23"/>
      <c r="O18" s="23"/>
      <c r="P18" s="24">
        <f t="shared" si="1"/>
        <v>3.5</v>
      </c>
    </row>
    <row r="19" spans="1:20" ht="20.25" customHeight="1" x14ac:dyDescent="0.25">
      <c r="A19" s="22" t="s">
        <v>55</v>
      </c>
      <c r="B19" s="23"/>
      <c r="C19" s="23"/>
      <c r="D19" s="23"/>
      <c r="E19" s="23"/>
      <c r="F19" s="23">
        <v>0.75</v>
      </c>
      <c r="G19" s="23">
        <v>0.75</v>
      </c>
      <c r="H19" s="23"/>
      <c r="I19" s="23"/>
      <c r="J19" s="23">
        <v>1</v>
      </c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18</v>
      </c>
      <c r="B20" s="23">
        <v>1.5</v>
      </c>
      <c r="C20" s="23">
        <v>0.5</v>
      </c>
      <c r="D20" s="23"/>
      <c r="E20" s="23"/>
      <c r="F20" s="23">
        <v>0.5</v>
      </c>
      <c r="G20" s="23"/>
      <c r="H20" s="23"/>
      <c r="I20" s="23">
        <v>1</v>
      </c>
      <c r="J20" s="23">
        <v>1</v>
      </c>
      <c r="K20" s="23">
        <v>1</v>
      </c>
      <c r="L20" s="23"/>
      <c r="M20" s="23"/>
      <c r="N20" s="23"/>
      <c r="O20" s="23"/>
      <c r="P20" s="24">
        <f t="shared" si="1"/>
        <v>5.5</v>
      </c>
    </row>
    <row r="21" spans="1:20" ht="20.25" customHeight="1" x14ac:dyDescent="0.2">
      <c r="A21" s="15" t="s">
        <v>39</v>
      </c>
      <c r="B21" s="14">
        <f t="shared" ref="B21:P21" si="2">SUM(B7:B20)</f>
        <v>12</v>
      </c>
      <c r="C21" s="14">
        <f t="shared" si="2"/>
        <v>7</v>
      </c>
      <c r="D21" s="14">
        <f t="shared" si="2"/>
        <v>8</v>
      </c>
      <c r="E21" s="14">
        <f t="shared" si="2"/>
        <v>8.75</v>
      </c>
      <c r="F21" s="14">
        <f t="shared" si="2"/>
        <v>12</v>
      </c>
      <c r="G21" s="14">
        <f t="shared" si="2"/>
        <v>5.75</v>
      </c>
      <c r="H21" s="14">
        <f t="shared" si="2"/>
        <v>0</v>
      </c>
      <c r="I21" s="14">
        <f t="shared" si="2"/>
        <v>9.75</v>
      </c>
      <c r="J21" s="14">
        <f t="shared" si="2"/>
        <v>12</v>
      </c>
      <c r="K21" s="14">
        <f t="shared" si="2"/>
        <v>6.75</v>
      </c>
      <c r="L21" s="14">
        <f t="shared" si="2"/>
        <v>8</v>
      </c>
      <c r="M21" s="14">
        <f t="shared" si="2"/>
        <v>3.5</v>
      </c>
      <c r="N21" s="14">
        <f t="shared" si="2"/>
        <v>0</v>
      </c>
      <c r="O21" s="14">
        <f t="shared" si="2"/>
        <v>0</v>
      </c>
      <c r="P21" s="14">
        <f t="shared" si="2"/>
        <v>93.5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53.5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163" priority="6" operator="greaterThan">
      <formula>8</formula>
    </cfRule>
    <cfRule type="cellIs" dxfId="162" priority="119" operator="equal">
      <formula>8</formula>
    </cfRule>
  </conditionalFormatting>
  <conditionalFormatting sqref="P7:P20">
    <cfRule type="cellIs" dxfId="161" priority="5" operator="greaterThan">
      <formula>80</formula>
    </cfRule>
  </conditionalFormatting>
  <conditionalFormatting sqref="P21">
    <cfRule type="cellIs" dxfId="160" priority="4" operator="greaterThan">
      <formula>80</formula>
    </cfRule>
    <cfRule type="cellIs" dxfId="159" priority="120" operator="equal">
      <formula>80</formula>
    </cfRule>
  </conditionalFormatting>
  <conditionalFormatting sqref="H22">
    <cfRule type="cellIs" dxfId="158" priority="3" operator="greaterThan">
      <formula>40</formula>
    </cfRule>
    <cfRule type="cellIs" dxfId="157" priority="121" operator="equal">
      <formula>40</formula>
    </cfRule>
  </conditionalFormatting>
  <conditionalFormatting sqref="O22">
    <cfRule type="cellIs" dxfId="156" priority="2" operator="greaterThan">
      <formula>40</formula>
    </cfRule>
    <cfRule type="cellIs" dxfId="155" priority="122" operator="equal">
      <formula>40</formula>
    </cfRule>
  </conditionalFormatting>
  <conditionalFormatting sqref="G21:H21 N21:O21">
    <cfRule type="cellIs" dxfId="15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859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8593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T218"/>
  <sheetViews>
    <sheetView workbookViewId="0">
      <selection activeCell="S13" sqref="S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INDEX(Refs!D:D,MATCH('FY13-13'!B1 &amp; 'FY13-13'!B2,Refs!K:K,0))</f>
        <v>41435</v>
      </c>
      <c r="C5" s="12">
        <f>B5+1</f>
        <v>41436</v>
      </c>
      <c r="D5" s="12">
        <f t="shared" ref="D5:O5" si="0">C5+1</f>
        <v>41437</v>
      </c>
      <c r="E5" s="12">
        <f t="shared" si="0"/>
        <v>41438</v>
      </c>
      <c r="F5" s="12">
        <f t="shared" si="0"/>
        <v>41439</v>
      </c>
      <c r="G5" s="12">
        <f t="shared" si="0"/>
        <v>41440</v>
      </c>
      <c r="H5" s="12">
        <f t="shared" si="0"/>
        <v>41441</v>
      </c>
      <c r="I5" s="12">
        <f t="shared" si="0"/>
        <v>41442</v>
      </c>
      <c r="J5" s="12">
        <f t="shared" si="0"/>
        <v>41443</v>
      </c>
      <c r="K5" s="12">
        <f t="shared" si="0"/>
        <v>41444</v>
      </c>
      <c r="L5" s="12">
        <f t="shared" si="0"/>
        <v>41445</v>
      </c>
      <c r="M5" s="12">
        <f t="shared" si="0"/>
        <v>41446</v>
      </c>
      <c r="N5" s="12">
        <f t="shared" si="0"/>
        <v>41447</v>
      </c>
      <c r="O5" s="12">
        <f t="shared" si="0"/>
        <v>41448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/>
      <c r="D7" s="23">
        <v>2.5</v>
      </c>
      <c r="E7" s="23"/>
      <c r="F7" s="23"/>
      <c r="G7" s="23"/>
      <c r="H7" s="23"/>
      <c r="I7" s="23">
        <v>1.25</v>
      </c>
      <c r="J7" s="23">
        <v>0.25</v>
      </c>
      <c r="K7" s="23">
        <v>1</v>
      </c>
      <c r="L7" s="23">
        <v>1</v>
      </c>
      <c r="M7" s="23">
        <v>1</v>
      </c>
      <c r="N7" s="23"/>
      <c r="O7" s="23"/>
      <c r="P7" s="24">
        <f t="shared" ref="P7:P17" si="1">SUM(B7:O7)</f>
        <v>7</v>
      </c>
    </row>
    <row r="8" spans="1:16" ht="20.25" customHeight="1" x14ac:dyDescent="0.25">
      <c r="A8" s="22" t="s">
        <v>29</v>
      </c>
      <c r="B8" s="23"/>
      <c r="C8" s="23"/>
      <c r="D8" s="23">
        <v>0.75</v>
      </c>
      <c r="E8" s="23"/>
      <c r="F8" s="23"/>
      <c r="G8" s="23"/>
      <c r="H8" s="23"/>
      <c r="I8" s="23">
        <v>1.5</v>
      </c>
      <c r="J8" s="23">
        <v>1</v>
      </c>
      <c r="K8" s="23">
        <v>1</v>
      </c>
      <c r="L8" s="23"/>
      <c r="M8" s="23">
        <v>0.5</v>
      </c>
      <c r="N8" s="23"/>
      <c r="O8" s="23"/>
      <c r="P8" s="24">
        <f t="shared" si="1"/>
        <v>4.75</v>
      </c>
    </row>
    <row r="9" spans="1:16" ht="20.25" customHeight="1" x14ac:dyDescent="0.25">
      <c r="A9" s="22" t="s">
        <v>20</v>
      </c>
      <c r="B9" s="23"/>
      <c r="C9" s="23"/>
      <c r="D9" s="23"/>
      <c r="E9" s="23"/>
      <c r="F9" s="23"/>
      <c r="G9" s="23"/>
      <c r="H9" s="23"/>
      <c r="I9" s="23">
        <v>0.5</v>
      </c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21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>
        <v>5</v>
      </c>
      <c r="N10" s="23"/>
      <c r="O10" s="23"/>
      <c r="P10" s="24">
        <f t="shared" si="1"/>
        <v>5</v>
      </c>
    </row>
    <row r="11" spans="1:16" ht="20.25" customHeight="1" x14ac:dyDescent="0.25">
      <c r="A11" s="22" t="s">
        <v>54</v>
      </c>
      <c r="B11" s="23"/>
      <c r="C11" s="23"/>
      <c r="D11" s="23">
        <v>1</v>
      </c>
      <c r="E11" s="23"/>
      <c r="F11" s="23"/>
      <c r="G11" s="23"/>
      <c r="H11" s="23"/>
      <c r="I11" s="23">
        <v>2</v>
      </c>
      <c r="J11" s="23">
        <v>3</v>
      </c>
      <c r="K11" s="23">
        <v>2</v>
      </c>
      <c r="L11" s="23"/>
      <c r="M11" s="23"/>
      <c r="N11" s="23"/>
      <c r="O11" s="23"/>
      <c r="P11" s="24">
        <f t="shared" si="1"/>
        <v>8</v>
      </c>
    </row>
    <row r="12" spans="1:16" ht="20.25" customHeight="1" x14ac:dyDescent="0.25">
      <c r="A12" s="22" t="s">
        <v>30</v>
      </c>
      <c r="B12" s="23"/>
      <c r="C12" s="23"/>
      <c r="D12" s="23">
        <v>2.25</v>
      </c>
      <c r="E12" s="23"/>
      <c r="F12" s="23"/>
      <c r="G12" s="23"/>
      <c r="H12" s="23"/>
      <c r="I12" s="23">
        <v>2.75</v>
      </c>
      <c r="J12" s="23">
        <v>3</v>
      </c>
      <c r="K12" s="23">
        <v>3</v>
      </c>
      <c r="L12" s="23">
        <v>3</v>
      </c>
      <c r="M12" s="23"/>
      <c r="N12" s="23"/>
      <c r="O12" s="23"/>
      <c r="P12" s="24">
        <f t="shared" si="1"/>
        <v>14</v>
      </c>
    </row>
    <row r="13" spans="1:16" ht="20.25" customHeight="1" x14ac:dyDescent="0.25">
      <c r="A13" s="22" t="s">
        <v>28</v>
      </c>
      <c r="B13" s="23"/>
      <c r="C13" s="23"/>
      <c r="D13" s="23"/>
      <c r="E13" s="23">
        <v>6</v>
      </c>
      <c r="F13" s="23">
        <v>8</v>
      </c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14</v>
      </c>
    </row>
    <row r="14" spans="1:16" ht="20.25" customHeight="1" x14ac:dyDescent="0.25">
      <c r="A14" s="22" t="s">
        <v>22</v>
      </c>
      <c r="B14" s="23">
        <v>7</v>
      </c>
      <c r="C14" s="23">
        <v>6.75</v>
      </c>
      <c r="D14" s="23">
        <v>1.5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15.25</v>
      </c>
    </row>
    <row r="15" spans="1:16" ht="20.25" customHeight="1" x14ac:dyDescent="0.25">
      <c r="A15" s="22" t="s">
        <v>23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7.5</v>
      </c>
      <c r="O15" s="23"/>
      <c r="P15" s="24">
        <f t="shared" si="1"/>
        <v>7.5</v>
      </c>
    </row>
    <row r="16" spans="1:16" ht="20.25" customHeight="1" x14ac:dyDescent="0.25">
      <c r="A16" s="22" t="s">
        <v>55</v>
      </c>
      <c r="B16" s="23">
        <v>2.25</v>
      </c>
      <c r="C16" s="23">
        <v>2</v>
      </c>
      <c r="D16" s="23"/>
      <c r="E16" s="23"/>
      <c r="F16" s="23"/>
      <c r="G16" s="23"/>
      <c r="H16" s="23"/>
      <c r="I16" s="23"/>
      <c r="J16" s="23"/>
      <c r="K16" s="23"/>
      <c r="L16" s="23"/>
      <c r="M16" s="23">
        <v>1.75</v>
      </c>
      <c r="N16" s="23"/>
      <c r="O16" s="23"/>
      <c r="P16" s="24">
        <f t="shared" si="1"/>
        <v>6</v>
      </c>
    </row>
    <row r="17" spans="1:20" ht="20.25" customHeight="1" x14ac:dyDescent="0.25">
      <c r="A17" s="22" t="s">
        <v>18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2</v>
      </c>
      <c r="M17" s="23"/>
      <c r="N17" s="23"/>
      <c r="O17" s="23"/>
      <c r="P17" s="24">
        <f t="shared" si="1"/>
        <v>2</v>
      </c>
    </row>
    <row r="18" spans="1:20" ht="20.25" customHeight="1" x14ac:dyDescent="0.2">
      <c r="A18" s="15" t="s">
        <v>39</v>
      </c>
      <c r="B18" s="14">
        <f t="shared" ref="B18:P18" si="2">SUM(B7:B17)</f>
        <v>9.25</v>
      </c>
      <c r="C18" s="14">
        <f t="shared" si="2"/>
        <v>8.75</v>
      </c>
      <c r="D18" s="14">
        <f t="shared" si="2"/>
        <v>8</v>
      </c>
      <c r="E18" s="14">
        <f t="shared" si="2"/>
        <v>6</v>
      </c>
      <c r="F18" s="14">
        <f t="shared" si="2"/>
        <v>8</v>
      </c>
      <c r="G18" s="14">
        <f t="shared" si="2"/>
        <v>0</v>
      </c>
      <c r="H18" s="14">
        <f t="shared" si="2"/>
        <v>0</v>
      </c>
      <c r="I18" s="14">
        <f t="shared" si="2"/>
        <v>8</v>
      </c>
      <c r="J18" s="14">
        <f t="shared" si="2"/>
        <v>7.25</v>
      </c>
      <c r="K18" s="14">
        <f t="shared" si="2"/>
        <v>7</v>
      </c>
      <c r="L18" s="14">
        <f t="shared" si="2"/>
        <v>6</v>
      </c>
      <c r="M18" s="14">
        <f t="shared" si="2"/>
        <v>8.25</v>
      </c>
      <c r="N18" s="14">
        <f t="shared" si="2"/>
        <v>7.5</v>
      </c>
      <c r="O18" s="14">
        <f t="shared" si="2"/>
        <v>0</v>
      </c>
      <c r="P18" s="14">
        <f t="shared" si="2"/>
        <v>84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44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53" priority="6" operator="greaterThan">
      <formula>8</formula>
    </cfRule>
    <cfRule type="cellIs" dxfId="152" priority="87" operator="equal">
      <formula>8</formula>
    </cfRule>
  </conditionalFormatting>
  <conditionalFormatting sqref="P7:P17">
    <cfRule type="cellIs" dxfId="151" priority="5" operator="greaterThan">
      <formula>80</formula>
    </cfRule>
  </conditionalFormatting>
  <conditionalFormatting sqref="P18">
    <cfRule type="cellIs" dxfId="150" priority="4" operator="greaterThan">
      <formula>80</formula>
    </cfRule>
    <cfRule type="cellIs" dxfId="149" priority="88" operator="equal">
      <formula>80</formula>
    </cfRule>
  </conditionalFormatting>
  <conditionalFormatting sqref="H19">
    <cfRule type="cellIs" dxfId="148" priority="3" operator="greaterThan">
      <formula>40</formula>
    </cfRule>
    <cfRule type="cellIs" dxfId="147" priority="89" operator="equal">
      <formula>40</formula>
    </cfRule>
  </conditionalFormatting>
  <conditionalFormatting sqref="O19">
    <cfRule type="cellIs" dxfId="146" priority="2" operator="greaterThan">
      <formula>40</formula>
    </cfRule>
    <cfRule type="cellIs" dxfId="145" priority="90" operator="equal">
      <formula>40</formula>
    </cfRule>
  </conditionalFormatting>
  <conditionalFormatting sqref="G18:H18 N18:O18">
    <cfRule type="cellIs" dxfId="14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40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140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T214"/>
  <sheetViews>
    <sheetView topLeftCell="A2" workbookViewId="0">
      <selection activeCell="N12" sqref="N12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40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INDEX(Refs!D:D,MATCH('FY13-12'!B1 &amp; 'FY13-12'!B2,Refs!K:K,0))</f>
        <v>41421</v>
      </c>
      <c r="C5" s="12">
        <f>B5+1</f>
        <v>41422</v>
      </c>
      <c r="D5" s="12">
        <f t="shared" ref="D5:O5" si="0">C5+1</f>
        <v>41423</v>
      </c>
      <c r="E5" s="12">
        <f t="shared" si="0"/>
        <v>41424</v>
      </c>
      <c r="F5" s="12">
        <f t="shared" si="0"/>
        <v>41425</v>
      </c>
      <c r="G5" s="12">
        <f t="shared" si="0"/>
        <v>41426</v>
      </c>
      <c r="H5" s="12">
        <f t="shared" si="0"/>
        <v>41427</v>
      </c>
      <c r="I5" s="12">
        <f t="shared" si="0"/>
        <v>41428</v>
      </c>
      <c r="J5" s="12">
        <f t="shared" si="0"/>
        <v>41429</v>
      </c>
      <c r="K5" s="12">
        <f t="shared" si="0"/>
        <v>41430</v>
      </c>
      <c r="L5" s="12">
        <f t="shared" si="0"/>
        <v>41431</v>
      </c>
      <c r="M5" s="12">
        <f t="shared" si="0"/>
        <v>41432</v>
      </c>
      <c r="N5" s="12">
        <f t="shared" si="0"/>
        <v>41433</v>
      </c>
      <c r="O5" s="12">
        <f t="shared" si="0"/>
        <v>41434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2" t="s">
        <v>17</v>
      </c>
      <c r="B7" s="23"/>
      <c r="C7" s="23">
        <v>2</v>
      </c>
      <c r="D7" s="23">
        <v>2</v>
      </c>
      <c r="E7" s="23">
        <v>1</v>
      </c>
      <c r="F7" s="23">
        <v>2</v>
      </c>
      <c r="G7" s="23"/>
      <c r="H7" s="23"/>
      <c r="I7" s="23"/>
      <c r="J7" s="23"/>
      <c r="K7" s="23"/>
      <c r="L7" s="23"/>
      <c r="M7" s="23"/>
      <c r="N7" s="23"/>
      <c r="O7" s="23"/>
      <c r="P7" s="24">
        <f t="shared" ref="P7:P13" si="1">SUM(B7:O7)</f>
        <v>7</v>
      </c>
    </row>
    <row r="8" spans="1:20" ht="20.25" customHeight="1" x14ac:dyDescent="0.25">
      <c r="A8" s="22" t="s">
        <v>26</v>
      </c>
      <c r="B8" s="23"/>
      <c r="C8" s="23"/>
      <c r="D8" s="23">
        <v>1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1</v>
      </c>
    </row>
    <row r="9" spans="1:20" ht="20.25" customHeight="1" x14ac:dyDescent="0.25">
      <c r="A9" s="22" t="s">
        <v>21</v>
      </c>
      <c r="B9" s="23"/>
      <c r="C9" s="23">
        <v>2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2</v>
      </c>
    </row>
    <row r="10" spans="1:20" ht="20.25" customHeight="1" x14ac:dyDescent="0.25">
      <c r="A10" s="22" t="s">
        <v>54</v>
      </c>
      <c r="B10" s="23"/>
      <c r="C10" s="23">
        <v>2</v>
      </c>
      <c r="D10" s="23">
        <v>2</v>
      </c>
      <c r="E10" s="23">
        <v>4.5</v>
      </c>
      <c r="F10" s="23">
        <v>3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11.5</v>
      </c>
    </row>
    <row r="11" spans="1:20" ht="20.25" customHeight="1" x14ac:dyDescent="0.25">
      <c r="A11" s="22" t="s">
        <v>30</v>
      </c>
      <c r="B11" s="23"/>
      <c r="C11" s="23">
        <v>1</v>
      </c>
      <c r="D11" s="23">
        <v>3.75</v>
      </c>
      <c r="E11" s="23">
        <v>3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7.75</v>
      </c>
    </row>
    <row r="12" spans="1:20" ht="20.25" customHeight="1" x14ac:dyDescent="0.25">
      <c r="A12" s="22" t="s">
        <v>28</v>
      </c>
      <c r="B12" s="23">
        <v>8</v>
      </c>
      <c r="C12" s="23"/>
      <c r="D12" s="23"/>
      <c r="E12" s="23"/>
      <c r="F12" s="23">
        <v>0.75</v>
      </c>
      <c r="G12" s="23"/>
      <c r="H12" s="23"/>
      <c r="I12" s="23">
        <v>8</v>
      </c>
      <c r="J12" s="23">
        <v>8</v>
      </c>
      <c r="K12" s="23">
        <v>8</v>
      </c>
      <c r="L12" s="23">
        <v>8</v>
      </c>
      <c r="M12" s="23">
        <v>8</v>
      </c>
      <c r="N12" s="23"/>
      <c r="O12" s="23"/>
      <c r="P12" s="24">
        <f t="shared" si="1"/>
        <v>48.75</v>
      </c>
    </row>
    <row r="13" spans="1:20" ht="20.25" customHeight="1" x14ac:dyDescent="0.25">
      <c r="A13" s="22" t="s">
        <v>55</v>
      </c>
      <c r="B13" s="23"/>
      <c r="C13" s="23">
        <v>2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2</v>
      </c>
    </row>
    <row r="14" spans="1:20" ht="20.25" customHeight="1" x14ac:dyDescent="0.2">
      <c r="A14" s="15" t="s">
        <v>39</v>
      </c>
      <c r="B14" s="14">
        <f t="shared" ref="B14:P14" si="2">SUM(B7:B13)</f>
        <v>8</v>
      </c>
      <c r="C14" s="14">
        <f t="shared" si="2"/>
        <v>9</v>
      </c>
      <c r="D14" s="14">
        <f t="shared" si="2"/>
        <v>8.75</v>
      </c>
      <c r="E14" s="14">
        <f t="shared" si="2"/>
        <v>8.5</v>
      </c>
      <c r="F14" s="14">
        <f t="shared" si="2"/>
        <v>5.75</v>
      </c>
      <c r="G14" s="14">
        <f t="shared" si="2"/>
        <v>0</v>
      </c>
      <c r="H14" s="14">
        <f t="shared" si="2"/>
        <v>0</v>
      </c>
      <c r="I14" s="14">
        <f t="shared" si="2"/>
        <v>8</v>
      </c>
      <c r="J14" s="14">
        <f t="shared" si="2"/>
        <v>8</v>
      </c>
      <c r="K14" s="14">
        <f t="shared" si="2"/>
        <v>8</v>
      </c>
      <c r="L14" s="14">
        <f t="shared" si="2"/>
        <v>8</v>
      </c>
      <c r="M14" s="14">
        <f t="shared" si="2"/>
        <v>8</v>
      </c>
      <c r="N14" s="14">
        <f t="shared" si="2"/>
        <v>0</v>
      </c>
      <c r="O14" s="14">
        <f t="shared" si="2"/>
        <v>0</v>
      </c>
      <c r="P14" s="14">
        <f t="shared" si="2"/>
        <v>80</v>
      </c>
    </row>
    <row r="15" spans="1:20" ht="20.25" customHeight="1" x14ac:dyDescent="0.25">
      <c r="A15"/>
      <c r="B15"/>
      <c r="C15"/>
      <c r="D15"/>
      <c r="E15"/>
      <c r="F15"/>
      <c r="G15" s="22" t="s">
        <v>57</v>
      </c>
      <c r="H15" s="14">
        <f>SUM(B14:H14)</f>
        <v>40</v>
      </c>
      <c r="I15"/>
      <c r="J15"/>
      <c r="K15"/>
      <c r="L15"/>
      <c r="M15"/>
      <c r="N15" s="22" t="s">
        <v>58</v>
      </c>
      <c r="O15" s="14">
        <f>SUM(I14:O14)</f>
        <v>40</v>
      </c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</sheetData>
  <sortState ref="A7:P13">
    <sortCondition ref="A7:A13"/>
  </sortState>
  <conditionalFormatting sqref="B14:F14 I14:M14">
    <cfRule type="cellIs" dxfId="143" priority="6" operator="greaterThan">
      <formula>8</formula>
    </cfRule>
    <cfRule type="cellIs" dxfId="142" priority="71" operator="equal">
      <formula>8</formula>
    </cfRule>
  </conditionalFormatting>
  <conditionalFormatting sqref="P7:P13">
    <cfRule type="cellIs" dxfId="141" priority="5" operator="greaterThan">
      <formula>80</formula>
    </cfRule>
  </conditionalFormatting>
  <conditionalFormatting sqref="P14">
    <cfRule type="cellIs" dxfId="140" priority="4" operator="greaterThan">
      <formula>80</formula>
    </cfRule>
    <cfRule type="cellIs" dxfId="139" priority="72" operator="equal">
      <formula>80</formula>
    </cfRule>
  </conditionalFormatting>
  <conditionalFormatting sqref="H15">
    <cfRule type="cellIs" dxfId="138" priority="3" operator="greaterThan">
      <formula>40</formula>
    </cfRule>
    <cfRule type="cellIs" dxfId="137" priority="73" operator="equal">
      <formula>40</formula>
    </cfRule>
  </conditionalFormatting>
  <conditionalFormatting sqref="O15">
    <cfRule type="cellIs" dxfId="136" priority="2" operator="greaterThan">
      <formula>40</formula>
    </cfRule>
    <cfRule type="cellIs" dxfId="135" priority="74" operator="equal">
      <formula>40</formula>
    </cfRule>
  </conditionalFormatting>
  <conditionalFormatting sqref="G14:H14 N14:O14">
    <cfRule type="cellIs" dxfId="1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2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2513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T219"/>
  <sheetViews>
    <sheetView workbookViewId="0">
      <selection activeCell="P27" sqref="P2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INDEX(Refs!D:D,MATCH('FY13-11'!B1 &amp; 'FY13-11'!B2,Refs!K:K,0))</f>
        <v>41407</v>
      </c>
      <c r="C5" s="12">
        <f>B5+1</f>
        <v>41408</v>
      </c>
      <c r="D5" s="12">
        <f t="shared" ref="D5:O5" si="0">C5+1</f>
        <v>41409</v>
      </c>
      <c r="E5" s="12">
        <f t="shared" si="0"/>
        <v>41410</v>
      </c>
      <c r="F5" s="12">
        <f t="shared" si="0"/>
        <v>41411</v>
      </c>
      <c r="G5" s="12">
        <f t="shared" si="0"/>
        <v>41412</v>
      </c>
      <c r="H5" s="12">
        <f t="shared" si="0"/>
        <v>41413</v>
      </c>
      <c r="I5" s="12">
        <f t="shared" si="0"/>
        <v>41414</v>
      </c>
      <c r="J5" s="12">
        <f t="shared" si="0"/>
        <v>41415</v>
      </c>
      <c r="K5" s="12">
        <f t="shared" si="0"/>
        <v>41416</v>
      </c>
      <c r="L5" s="12">
        <f t="shared" si="0"/>
        <v>41417</v>
      </c>
      <c r="M5" s="12">
        <f t="shared" si="0"/>
        <v>41418</v>
      </c>
      <c r="N5" s="12">
        <f t="shared" si="0"/>
        <v>41419</v>
      </c>
      <c r="O5" s="12">
        <f t="shared" si="0"/>
        <v>41420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0.75</v>
      </c>
      <c r="C7" s="23">
        <v>0.75</v>
      </c>
      <c r="D7" s="23">
        <v>1</v>
      </c>
      <c r="E7" s="23">
        <v>1.5</v>
      </c>
      <c r="F7" s="23">
        <v>0.75</v>
      </c>
      <c r="G7" s="23"/>
      <c r="H7" s="23"/>
      <c r="I7" s="23">
        <v>0.5</v>
      </c>
      <c r="J7" s="23">
        <v>1</v>
      </c>
      <c r="K7" s="23">
        <v>0.5</v>
      </c>
      <c r="L7" s="23">
        <v>4.5</v>
      </c>
      <c r="M7" s="23">
        <v>1</v>
      </c>
      <c r="N7" s="23"/>
      <c r="O7" s="23"/>
      <c r="P7" s="24">
        <f t="shared" ref="P7:P18" si="1">SUM(B7:O7)</f>
        <v>12.25</v>
      </c>
    </row>
    <row r="8" spans="1:16" ht="20.25" customHeight="1" x14ac:dyDescent="0.25">
      <c r="A8" s="22" t="s">
        <v>26</v>
      </c>
      <c r="B8" s="23"/>
      <c r="C8" s="23">
        <v>1</v>
      </c>
      <c r="D8" s="23"/>
      <c r="E8" s="23"/>
      <c r="F8" s="23"/>
      <c r="G8" s="23"/>
      <c r="H8" s="23"/>
      <c r="I8" s="23">
        <v>1</v>
      </c>
      <c r="J8" s="23">
        <v>1.5</v>
      </c>
      <c r="K8" s="23"/>
      <c r="L8" s="23">
        <v>1</v>
      </c>
      <c r="M8" s="23"/>
      <c r="N8" s="23"/>
      <c r="O8" s="23"/>
      <c r="P8" s="24">
        <f t="shared" si="1"/>
        <v>4.5</v>
      </c>
    </row>
    <row r="9" spans="1:16" ht="20.25" customHeight="1" x14ac:dyDescent="0.25">
      <c r="A9" s="22" t="s">
        <v>52</v>
      </c>
      <c r="B9" s="23"/>
      <c r="C9" s="23"/>
      <c r="D9" s="23"/>
      <c r="E9" s="23"/>
      <c r="F9" s="23"/>
      <c r="G9" s="23"/>
      <c r="H9" s="23"/>
      <c r="I9" s="23"/>
      <c r="J9" s="23">
        <v>2</v>
      </c>
      <c r="K9" s="23"/>
      <c r="L9" s="23"/>
      <c r="M9" s="23"/>
      <c r="N9" s="23"/>
      <c r="O9" s="23"/>
      <c r="P9" s="24">
        <f t="shared" si="1"/>
        <v>2</v>
      </c>
    </row>
    <row r="10" spans="1:16" ht="20.25" customHeight="1" x14ac:dyDescent="0.25">
      <c r="A10" s="22" t="s">
        <v>27</v>
      </c>
      <c r="B10" s="23"/>
      <c r="C10" s="23"/>
      <c r="D10" s="23"/>
      <c r="E10" s="23">
        <v>1</v>
      </c>
      <c r="F10" s="23"/>
      <c r="G10" s="23"/>
      <c r="H10" s="23"/>
      <c r="I10" s="23">
        <v>1.75</v>
      </c>
      <c r="J10" s="23">
        <v>0.5</v>
      </c>
      <c r="K10" s="23"/>
      <c r="L10" s="23"/>
      <c r="M10" s="23"/>
      <c r="N10" s="23"/>
      <c r="O10" s="23"/>
      <c r="P10" s="24">
        <f t="shared" si="1"/>
        <v>3.25</v>
      </c>
    </row>
    <row r="11" spans="1:16" ht="20.25" customHeight="1" x14ac:dyDescent="0.25">
      <c r="A11" s="22" t="s">
        <v>20</v>
      </c>
      <c r="B11" s="23">
        <v>1</v>
      </c>
      <c r="C11" s="23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2</v>
      </c>
    </row>
    <row r="12" spans="1:16" ht="20.25" customHeight="1" x14ac:dyDescent="0.25">
      <c r="A12" s="22" t="s">
        <v>21</v>
      </c>
      <c r="B12" s="23"/>
      <c r="C12" s="23"/>
      <c r="D12" s="23"/>
      <c r="E12" s="23"/>
      <c r="F12" s="23">
        <v>4</v>
      </c>
      <c r="G12" s="23"/>
      <c r="H12" s="23"/>
      <c r="I12" s="23"/>
      <c r="J12" s="23">
        <v>0.5</v>
      </c>
      <c r="K12" s="23">
        <v>2.5</v>
      </c>
      <c r="L12" s="23"/>
      <c r="M12" s="23"/>
      <c r="N12" s="23"/>
      <c r="O12" s="23"/>
      <c r="P12" s="24">
        <f t="shared" si="1"/>
        <v>7</v>
      </c>
    </row>
    <row r="13" spans="1:16" ht="20.25" customHeight="1" x14ac:dyDescent="0.25">
      <c r="A13" s="22" t="s">
        <v>54</v>
      </c>
      <c r="B13" s="23">
        <v>4.25</v>
      </c>
      <c r="C13" s="23">
        <v>3.75</v>
      </c>
      <c r="D13" s="23">
        <v>4</v>
      </c>
      <c r="E13" s="23">
        <v>3.25</v>
      </c>
      <c r="F13" s="23"/>
      <c r="G13" s="23"/>
      <c r="H13" s="23"/>
      <c r="I13" s="23">
        <v>3</v>
      </c>
      <c r="J13" s="23">
        <v>2.75</v>
      </c>
      <c r="K13" s="23">
        <v>2</v>
      </c>
      <c r="L13" s="23">
        <v>2</v>
      </c>
      <c r="M13" s="23">
        <v>2</v>
      </c>
      <c r="N13" s="23"/>
      <c r="O13" s="23"/>
      <c r="P13" s="24">
        <f t="shared" si="1"/>
        <v>27</v>
      </c>
    </row>
    <row r="14" spans="1:16" ht="20.25" customHeight="1" x14ac:dyDescent="0.25">
      <c r="A14" s="22" t="s">
        <v>30</v>
      </c>
      <c r="B14" s="23">
        <v>1</v>
      </c>
      <c r="C14" s="23">
        <v>1</v>
      </c>
      <c r="D14" s="23">
        <v>1.25</v>
      </c>
      <c r="E14" s="23"/>
      <c r="F14" s="23"/>
      <c r="G14" s="23"/>
      <c r="H14" s="23"/>
      <c r="I14" s="23">
        <v>0.5</v>
      </c>
      <c r="J14" s="23">
        <v>1</v>
      </c>
      <c r="K14" s="23">
        <v>1</v>
      </c>
      <c r="L14" s="23">
        <v>0.5</v>
      </c>
      <c r="M14" s="23"/>
      <c r="N14" s="23"/>
      <c r="O14" s="23"/>
      <c r="P14" s="24">
        <f t="shared" si="1"/>
        <v>6.25</v>
      </c>
    </row>
    <row r="15" spans="1:16" ht="20.25" customHeight="1" x14ac:dyDescent="0.25">
      <c r="A15" s="22" t="s">
        <v>28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>
        <v>2.5</v>
      </c>
      <c r="N15" s="23"/>
      <c r="O15" s="23"/>
      <c r="P15" s="24">
        <f t="shared" si="1"/>
        <v>2.5</v>
      </c>
    </row>
    <row r="16" spans="1:16" ht="20.25" customHeight="1" x14ac:dyDescent="0.25">
      <c r="A16" s="22" t="s">
        <v>23</v>
      </c>
      <c r="B16" s="23"/>
      <c r="C16" s="23">
        <v>2</v>
      </c>
      <c r="D16" s="23"/>
      <c r="E16" s="23"/>
      <c r="F16" s="23"/>
      <c r="G16" s="23"/>
      <c r="H16" s="23"/>
      <c r="I16" s="23"/>
      <c r="J16" s="23"/>
      <c r="K16" s="23"/>
      <c r="L16" s="23">
        <v>2</v>
      </c>
      <c r="M16" s="23"/>
      <c r="N16" s="23"/>
      <c r="O16" s="23"/>
      <c r="P16" s="24">
        <f t="shared" si="1"/>
        <v>4</v>
      </c>
    </row>
    <row r="17" spans="1:20" ht="20.25" customHeight="1" x14ac:dyDescent="0.25">
      <c r="A17" s="22" t="s">
        <v>55</v>
      </c>
      <c r="B17" s="23"/>
      <c r="C17" s="23"/>
      <c r="D17" s="23"/>
      <c r="E17" s="23"/>
      <c r="F17" s="23">
        <v>2.5</v>
      </c>
      <c r="G17" s="23"/>
      <c r="H17" s="23"/>
      <c r="I17" s="23"/>
      <c r="J17" s="23"/>
      <c r="K17" s="23">
        <v>1.5</v>
      </c>
      <c r="L17" s="23"/>
      <c r="M17" s="23"/>
      <c r="N17" s="23"/>
      <c r="O17" s="23"/>
      <c r="P17" s="24">
        <f t="shared" si="1"/>
        <v>4</v>
      </c>
    </row>
    <row r="18" spans="1:20" ht="20.25" customHeight="1" x14ac:dyDescent="0.25">
      <c r="A18" s="22" t="s">
        <v>18</v>
      </c>
      <c r="B18" s="23">
        <v>0.75</v>
      </c>
      <c r="C18" s="23">
        <v>1</v>
      </c>
      <c r="D18" s="23">
        <v>1</v>
      </c>
      <c r="E18" s="23">
        <v>1.5</v>
      </c>
      <c r="F18" s="23"/>
      <c r="G18" s="23"/>
      <c r="H18" s="23"/>
      <c r="I18" s="23"/>
      <c r="J18" s="23"/>
      <c r="K18" s="23"/>
      <c r="L18" s="23">
        <v>1</v>
      </c>
      <c r="M18" s="23"/>
      <c r="N18" s="23"/>
      <c r="O18" s="23"/>
      <c r="P18" s="24">
        <f t="shared" si="1"/>
        <v>5.25</v>
      </c>
    </row>
    <row r="19" spans="1:20" ht="20.25" customHeight="1" x14ac:dyDescent="0.2">
      <c r="A19" s="15" t="s">
        <v>39</v>
      </c>
      <c r="B19" s="14">
        <f t="shared" ref="B19:P19" si="2">SUM(B7:B18)</f>
        <v>7.75</v>
      </c>
      <c r="C19" s="14">
        <f t="shared" si="2"/>
        <v>10.5</v>
      </c>
      <c r="D19" s="14">
        <f t="shared" si="2"/>
        <v>7.25</v>
      </c>
      <c r="E19" s="14">
        <f t="shared" si="2"/>
        <v>7.25</v>
      </c>
      <c r="F19" s="14">
        <f t="shared" si="2"/>
        <v>7.25</v>
      </c>
      <c r="G19" s="14">
        <f t="shared" si="2"/>
        <v>0</v>
      </c>
      <c r="H19" s="14">
        <f t="shared" si="2"/>
        <v>0</v>
      </c>
      <c r="I19" s="14">
        <f t="shared" si="2"/>
        <v>6.75</v>
      </c>
      <c r="J19" s="14">
        <f t="shared" si="2"/>
        <v>9.25</v>
      </c>
      <c r="K19" s="14">
        <f t="shared" si="2"/>
        <v>7.5</v>
      </c>
      <c r="L19" s="14">
        <f t="shared" si="2"/>
        <v>11</v>
      </c>
      <c r="M19" s="14">
        <f t="shared" si="2"/>
        <v>5.5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33" priority="6" operator="greaterThan">
      <formula>8</formula>
    </cfRule>
    <cfRule type="cellIs" dxfId="132" priority="111" operator="equal">
      <formula>8</formula>
    </cfRule>
  </conditionalFormatting>
  <conditionalFormatting sqref="P7:P18">
    <cfRule type="cellIs" dxfId="131" priority="5" operator="greaterThan">
      <formula>80</formula>
    </cfRule>
  </conditionalFormatting>
  <conditionalFormatting sqref="P19">
    <cfRule type="cellIs" dxfId="130" priority="4" operator="greaterThan">
      <formula>80</formula>
    </cfRule>
    <cfRule type="cellIs" dxfId="129" priority="112" operator="equal">
      <formula>80</formula>
    </cfRule>
  </conditionalFormatting>
  <conditionalFormatting sqref="H20">
    <cfRule type="cellIs" dxfId="128" priority="3" operator="greaterThan">
      <formula>40</formula>
    </cfRule>
    <cfRule type="cellIs" dxfId="127" priority="113" operator="equal">
      <formula>40</formula>
    </cfRule>
  </conditionalFormatting>
  <conditionalFormatting sqref="O20">
    <cfRule type="cellIs" dxfId="126" priority="2" operator="greaterThan">
      <formula>40</formula>
    </cfRule>
    <cfRule type="cellIs" dxfId="125" priority="114" operator="equal">
      <formula>40</formula>
    </cfRule>
  </conditionalFormatting>
  <conditionalFormatting sqref="G19:H19 N19:O19">
    <cfRule type="cellIs" dxfId="12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20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7203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219"/>
  <sheetViews>
    <sheetView workbookViewId="0">
      <selection activeCell="M14" sqref="M14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INDEX(Refs!D:D,MATCH('FY13-10'!B1 &amp; 'FY13-10'!B2,Refs!K:K,0))</f>
        <v>41393</v>
      </c>
      <c r="C5" s="12">
        <f>B5+1</f>
        <v>41394</v>
      </c>
      <c r="D5" s="12">
        <f t="shared" ref="D5:O5" si="0">C5+1</f>
        <v>41395</v>
      </c>
      <c r="E5" s="12">
        <f t="shared" si="0"/>
        <v>41396</v>
      </c>
      <c r="F5" s="12">
        <f t="shared" si="0"/>
        <v>41397</v>
      </c>
      <c r="G5" s="12">
        <f t="shared" si="0"/>
        <v>41398</v>
      </c>
      <c r="H5" s="12">
        <f t="shared" si="0"/>
        <v>41399</v>
      </c>
      <c r="I5" s="12">
        <f t="shared" si="0"/>
        <v>41400</v>
      </c>
      <c r="J5" s="12">
        <f t="shared" si="0"/>
        <v>41401</v>
      </c>
      <c r="K5" s="12">
        <f t="shared" si="0"/>
        <v>41402</v>
      </c>
      <c r="L5" s="12">
        <f t="shared" si="0"/>
        <v>41403</v>
      </c>
      <c r="M5" s="12">
        <f t="shared" si="0"/>
        <v>41404</v>
      </c>
      <c r="N5" s="12">
        <f t="shared" si="0"/>
        <v>41405</v>
      </c>
      <c r="O5" s="12">
        <f t="shared" si="0"/>
        <v>41406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</v>
      </c>
      <c r="C7" s="23">
        <v>1</v>
      </c>
      <c r="D7" s="23"/>
      <c r="E7" s="23">
        <v>1</v>
      </c>
      <c r="F7" s="23">
        <v>0.75</v>
      </c>
      <c r="G7" s="23"/>
      <c r="H7" s="23"/>
      <c r="I7" s="23">
        <v>1</v>
      </c>
      <c r="J7" s="23">
        <v>0.25</v>
      </c>
      <c r="K7" s="23"/>
      <c r="L7" s="23">
        <v>0.5</v>
      </c>
      <c r="M7" s="23"/>
      <c r="N7" s="23"/>
      <c r="O7" s="23"/>
      <c r="P7" s="24">
        <f t="shared" ref="P7:P18" si="1">SUM(B7:O7)</f>
        <v>6.5</v>
      </c>
    </row>
    <row r="8" spans="1:16" ht="20.25" customHeight="1" x14ac:dyDescent="0.25">
      <c r="A8" s="22" t="s">
        <v>29</v>
      </c>
      <c r="B8" s="23">
        <v>0.5</v>
      </c>
      <c r="C8" s="23"/>
      <c r="D8" s="23"/>
      <c r="E8" s="23"/>
      <c r="F8" s="23">
        <v>0.5</v>
      </c>
      <c r="G8" s="23"/>
      <c r="H8" s="23"/>
      <c r="I8" s="23"/>
      <c r="J8" s="23">
        <v>0.5</v>
      </c>
      <c r="K8" s="23"/>
      <c r="L8" s="23">
        <v>1</v>
      </c>
      <c r="M8" s="23"/>
      <c r="N8" s="23"/>
      <c r="O8" s="23"/>
      <c r="P8" s="24">
        <f t="shared" si="1"/>
        <v>2.5</v>
      </c>
    </row>
    <row r="9" spans="1:16" ht="20.25" customHeight="1" x14ac:dyDescent="0.25">
      <c r="A9" s="22" t="s">
        <v>26</v>
      </c>
      <c r="B9" s="23"/>
      <c r="C9" s="23">
        <v>2.5</v>
      </c>
      <c r="D9" s="23"/>
      <c r="E9" s="23"/>
      <c r="F9" s="23">
        <v>0.75</v>
      </c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3.25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>
        <v>6</v>
      </c>
      <c r="N10" s="23"/>
      <c r="O10" s="23"/>
      <c r="P10" s="24">
        <f t="shared" si="1"/>
        <v>6</v>
      </c>
    </row>
    <row r="11" spans="1:16" ht="20.25" customHeight="1" x14ac:dyDescent="0.25">
      <c r="A11" s="22" t="s">
        <v>27</v>
      </c>
      <c r="B11" s="23">
        <v>1.5</v>
      </c>
      <c r="C11" s="23">
        <v>0.5</v>
      </c>
      <c r="D11" s="23"/>
      <c r="E11" s="23"/>
      <c r="F11" s="23"/>
      <c r="G11" s="23"/>
      <c r="H11" s="23"/>
      <c r="I11" s="23">
        <v>3</v>
      </c>
      <c r="J11" s="23"/>
      <c r="K11" s="23"/>
      <c r="L11" s="23"/>
      <c r="M11" s="23"/>
      <c r="N11" s="23"/>
      <c r="O11" s="23"/>
      <c r="P11" s="24">
        <f t="shared" si="1"/>
        <v>5</v>
      </c>
    </row>
    <row r="12" spans="1:16" ht="20.25" customHeight="1" x14ac:dyDescent="0.25">
      <c r="A12" s="22" t="s">
        <v>20</v>
      </c>
      <c r="B12" s="23"/>
      <c r="C12" s="23"/>
      <c r="D12" s="23"/>
      <c r="E12" s="23">
        <v>0.5</v>
      </c>
      <c r="F12" s="23"/>
      <c r="G12" s="23"/>
      <c r="H12" s="23"/>
      <c r="I12" s="23">
        <v>0.5</v>
      </c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21</v>
      </c>
      <c r="B13" s="23"/>
      <c r="C13" s="23"/>
      <c r="D13" s="23">
        <v>6</v>
      </c>
      <c r="E13" s="23"/>
      <c r="F13" s="23"/>
      <c r="G13" s="23"/>
      <c r="H13" s="23"/>
      <c r="I13" s="23"/>
      <c r="J13" s="23">
        <v>3</v>
      </c>
      <c r="K13" s="23"/>
      <c r="L13" s="23"/>
      <c r="M13" s="23"/>
      <c r="N13" s="23"/>
      <c r="O13" s="23"/>
      <c r="P13" s="24">
        <f t="shared" si="1"/>
        <v>9</v>
      </c>
    </row>
    <row r="14" spans="1:16" ht="20.25" customHeight="1" x14ac:dyDescent="0.25">
      <c r="A14" s="22" t="s">
        <v>54</v>
      </c>
      <c r="B14" s="23">
        <v>5</v>
      </c>
      <c r="C14" s="23">
        <v>2.25</v>
      </c>
      <c r="D14" s="23"/>
      <c r="E14" s="23">
        <v>4.25</v>
      </c>
      <c r="F14" s="23">
        <v>1.5</v>
      </c>
      <c r="G14" s="23"/>
      <c r="H14" s="23"/>
      <c r="I14" s="23">
        <v>4</v>
      </c>
      <c r="J14" s="23">
        <v>2.75</v>
      </c>
      <c r="K14" s="23"/>
      <c r="L14" s="23">
        <v>5</v>
      </c>
      <c r="M14" s="23"/>
      <c r="N14" s="23"/>
      <c r="O14" s="23"/>
      <c r="P14" s="24">
        <f t="shared" si="1"/>
        <v>24.75</v>
      </c>
    </row>
    <row r="15" spans="1:16" ht="20.25" customHeight="1" x14ac:dyDescent="0.25">
      <c r="A15" s="22" t="s">
        <v>28</v>
      </c>
      <c r="B15" s="23"/>
      <c r="C15" s="23"/>
      <c r="D15" s="23"/>
      <c r="E15" s="23"/>
      <c r="F15" s="23">
        <v>3.5</v>
      </c>
      <c r="G15" s="23"/>
      <c r="H15" s="23"/>
      <c r="I15" s="23"/>
      <c r="J15" s="23"/>
      <c r="K15" s="23">
        <v>5.75</v>
      </c>
      <c r="L15" s="23"/>
      <c r="M15" s="23"/>
      <c r="N15" s="23"/>
      <c r="O15" s="23"/>
      <c r="P15" s="24">
        <f t="shared" si="1"/>
        <v>9.25</v>
      </c>
    </row>
    <row r="16" spans="1:16" ht="20.25" customHeight="1" x14ac:dyDescent="0.25">
      <c r="A16" s="22" t="s">
        <v>23</v>
      </c>
      <c r="B16" s="23">
        <v>2.5</v>
      </c>
      <c r="C16" s="23"/>
      <c r="D16" s="23"/>
      <c r="E16" s="23"/>
      <c r="F16" s="23"/>
      <c r="G16" s="23"/>
      <c r="H16" s="23"/>
      <c r="I16" s="23"/>
      <c r="J16" s="23">
        <v>2</v>
      </c>
      <c r="K16" s="23"/>
      <c r="L16" s="23"/>
      <c r="M16" s="23"/>
      <c r="N16" s="23"/>
      <c r="O16" s="23"/>
      <c r="P16" s="24">
        <f t="shared" si="1"/>
        <v>4.5</v>
      </c>
    </row>
    <row r="17" spans="1:20" ht="20.25" customHeight="1" x14ac:dyDescent="0.25">
      <c r="A17" s="22" t="s">
        <v>55</v>
      </c>
      <c r="B17" s="23"/>
      <c r="C17" s="23"/>
      <c r="D17" s="23">
        <v>1.75</v>
      </c>
      <c r="E17" s="23"/>
      <c r="F17" s="23"/>
      <c r="G17" s="23"/>
      <c r="H17" s="23"/>
      <c r="I17" s="23">
        <v>0.5</v>
      </c>
      <c r="J17" s="23">
        <v>2</v>
      </c>
      <c r="K17" s="23"/>
      <c r="L17" s="23"/>
      <c r="M17" s="23"/>
      <c r="N17" s="23"/>
      <c r="O17" s="23"/>
      <c r="P17" s="24">
        <f t="shared" si="1"/>
        <v>4.25</v>
      </c>
    </row>
    <row r="18" spans="1:20" ht="20.25" customHeight="1" x14ac:dyDescent="0.25">
      <c r="A18" s="22" t="s">
        <v>18</v>
      </c>
      <c r="B18" s="23">
        <v>1.5</v>
      </c>
      <c r="C18" s="23"/>
      <c r="D18" s="23"/>
      <c r="E18" s="23">
        <v>0.25</v>
      </c>
      <c r="F18" s="23"/>
      <c r="G18" s="23"/>
      <c r="H18" s="23"/>
      <c r="I18" s="23"/>
      <c r="J18" s="23">
        <v>2</v>
      </c>
      <c r="K18" s="23"/>
      <c r="L18" s="23">
        <v>0.25</v>
      </c>
      <c r="M18" s="23"/>
      <c r="N18" s="23"/>
      <c r="O18" s="23"/>
      <c r="P18" s="24">
        <f t="shared" si="1"/>
        <v>4</v>
      </c>
    </row>
    <row r="19" spans="1:20" ht="20.25" customHeight="1" x14ac:dyDescent="0.2">
      <c r="A19" s="15" t="s">
        <v>39</v>
      </c>
      <c r="B19" s="14">
        <f t="shared" ref="B19:P19" si="2">SUM(B7:B18)</f>
        <v>13</v>
      </c>
      <c r="C19" s="14">
        <f t="shared" si="2"/>
        <v>6.25</v>
      </c>
      <c r="D19" s="14">
        <f t="shared" si="2"/>
        <v>7.75</v>
      </c>
      <c r="E19" s="14">
        <f t="shared" si="2"/>
        <v>6</v>
      </c>
      <c r="F19" s="14">
        <f t="shared" si="2"/>
        <v>7</v>
      </c>
      <c r="G19" s="14">
        <f t="shared" si="2"/>
        <v>0</v>
      </c>
      <c r="H19" s="14">
        <f t="shared" si="2"/>
        <v>0</v>
      </c>
      <c r="I19" s="14">
        <f t="shared" si="2"/>
        <v>9</v>
      </c>
      <c r="J19" s="14">
        <f t="shared" si="2"/>
        <v>12.5</v>
      </c>
      <c r="K19" s="14">
        <f t="shared" si="2"/>
        <v>5.75</v>
      </c>
      <c r="L19" s="14">
        <f t="shared" si="2"/>
        <v>6.75</v>
      </c>
      <c r="M19" s="14">
        <f t="shared" si="2"/>
        <v>6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23" priority="6" operator="greaterThan">
      <formula>8</formula>
    </cfRule>
    <cfRule type="cellIs" dxfId="122" priority="95" operator="equal">
      <formula>8</formula>
    </cfRule>
  </conditionalFormatting>
  <conditionalFormatting sqref="P7:P18">
    <cfRule type="cellIs" dxfId="121" priority="5" operator="greaterThan">
      <formula>80</formula>
    </cfRule>
  </conditionalFormatting>
  <conditionalFormatting sqref="P19">
    <cfRule type="cellIs" dxfId="120" priority="4" operator="greaterThan">
      <formula>80</formula>
    </cfRule>
    <cfRule type="cellIs" dxfId="119" priority="96" operator="equal">
      <formula>80</formula>
    </cfRule>
  </conditionalFormatting>
  <conditionalFormatting sqref="H20">
    <cfRule type="cellIs" dxfId="118" priority="3" operator="greaterThan">
      <formula>40</formula>
    </cfRule>
    <cfRule type="cellIs" dxfId="117" priority="97" operator="equal">
      <formula>40</formula>
    </cfRule>
  </conditionalFormatting>
  <conditionalFormatting sqref="O20">
    <cfRule type="cellIs" dxfId="116" priority="2" operator="greaterThan">
      <formula>40</formula>
    </cfRule>
    <cfRule type="cellIs" dxfId="115" priority="98" operator="equal">
      <formula>40</formula>
    </cfRule>
  </conditionalFormatting>
  <conditionalFormatting sqref="G19:H19 N19:O19">
    <cfRule type="cellIs" dxfId="11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25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525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T222"/>
  <sheetViews>
    <sheetView workbookViewId="0">
      <selection activeCell="N17" sqref="N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INDEX(Refs!D:D,MATCH('FY13-09'!B1 &amp; 'FY13-09'!B2,Refs!K:K,0))</f>
        <v>41379</v>
      </c>
      <c r="C5" s="12">
        <f>B5+1</f>
        <v>41380</v>
      </c>
      <c r="D5" s="12">
        <f t="shared" ref="D5:O5" si="0">C5+1</f>
        <v>41381</v>
      </c>
      <c r="E5" s="12">
        <f t="shared" si="0"/>
        <v>41382</v>
      </c>
      <c r="F5" s="12">
        <f t="shared" si="0"/>
        <v>41383</v>
      </c>
      <c r="G5" s="12">
        <f t="shared" si="0"/>
        <v>41384</v>
      </c>
      <c r="H5" s="12">
        <f t="shared" si="0"/>
        <v>41385</v>
      </c>
      <c r="I5" s="12">
        <f t="shared" si="0"/>
        <v>41386</v>
      </c>
      <c r="J5" s="12">
        <f t="shared" si="0"/>
        <v>41387</v>
      </c>
      <c r="K5" s="12">
        <f t="shared" si="0"/>
        <v>41388</v>
      </c>
      <c r="L5" s="12">
        <f t="shared" si="0"/>
        <v>41389</v>
      </c>
      <c r="M5" s="12">
        <f t="shared" si="0"/>
        <v>41390</v>
      </c>
      <c r="N5" s="12">
        <f t="shared" si="0"/>
        <v>41391</v>
      </c>
      <c r="O5" s="12">
        <f t="shared" si="0"/>
        <v>41392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</v>
      </c>
      <c r="C7" s="23">
        <v>1</v>
      </c>
      <c r="D7" s="23"/>
      <c r="E7" s="23"/>
      <c r="F7" s="23"/>
      <c r="G7" s="23"/>
      <c r="H7" s="23"/>
      <c r="I7" s="23"/>
      <c r="J7" s="23">
        <v>0.25</v>
      </c>
      <c r="K7" s="23">
        <v>2</v>
      </c>
      <c r="L7" s="23">
        <v>1</v>
      </c>
      <c r="M7" s="23">
        <v>0.5</v>
      </c>
      <c r="N7" s="23"/>
      <c r="O7" s="23"/>
      <c r="P7" s="24">
        <f t="shared" ref="P7:P21" si="1">SUM(B7:O7)</f>
        <v>6.75</v>
      </c>
    </row>
    <row r="8" spans="1:16" ht="20.25" customHeight="1" x14ac:dyDescent="0.25">
      <c r="A8" s="22" t="s">
        <v>29</v>
      </c>
      <c r="B8" s="23">
        <v>0.25</v>
      </c>
      <c r="C8" s="23">
        <v>0.5</v>
      </c>
      <c r="D8" s="23"/>
      <c r="E8" s="23"/>
      <c r="F8" s="23"/>
      <c r="G8" s="23"/>
      <c r="H8" s="23"/>
      <c r="I8" s="23"/>
      <c r="J8" s="23">
        <v>1.5</v>
      </c>
      <c r="K8" s="23">
        <v>0.5</v>
      </c>
      <c r="L8" s="23"/>
      <c r="M8" s="23"/>
      <c r="N8" s="23"/>
      <c r="O8" s="23"/>
      <c r="P8" s="24">
        <f t="shared" si="1"/>
        <v>2.75</v>
      </c>
    </row>
    <row r="9" spans="1:16" ht="20.25" customHeight="1" x14ac:dyDescent="0.25">
      <c r="A9" s="22" t="s">
        <v>24</v>
      </c>
      <c r="B9" s="23"/>
      <c r="C9" s="23"/>
      <c r="D9" s="23"/>
      <c r="E9" s="23"/>
      <c r="F9" s="23"/>
      <c r="G9" s="23"/>
      <c r="H9" s="23"/>
      <c r="I9" s="23">
        <v>8</v>
      </c>
      <c r="J9" s="23"/>
      <c r="K9" s="23"/>
      <c r="L9" s="23"/>
      <c r="M9" s="23"/>
      <c r="N9" s="23"/>
      <c r="O9" s="23"/>
      <c r="P9" s="24">
        <f t="shared" si="1"/>
        <v>8</v>
      </c>
    </row>
    <row r="10" spans="1:16" ht="20.25" customHeight="1" x14ac:dyDescent="0.25">
      <c r="A10" s="22" t="s">
        <v>26</v>
      </c>
      <c r="B10" s="23"/>
      <c r="C10" s="23"/>
      <c r="D10" s="23"/>
      <c r="E10" s="23"/>
      <c r="F10" s="23"/>
      <c r="G10" s="23"/>
      <c r="H10" s="23"/>
      <c r="I10" s="23"/>
      <c r="J10" s="23">
        <v>3.75</v>
      </c>
      <c r="K10" s="23">
        <v>3.75</v>
      </c>
      <c r="L10" s="23"/>
      <c r="M10" s="23"/>
      <c r="N10" s="23"/>
      <c r="O10" s="23"/>
      <c r="P10" s="24">
        <f t="shared" si="1"/>
        <v>7.5</v>
      </c>
    </row>
    <row r="11" spans="1:16" ht="20.25" customHeight="1" x14ac:dyDescent="0.25">
      <c r="A11" s="22" t="s">
        <v>51</v>
      </c>
      <c r="B11" s="23"/>
      <c r="C11" s="23"/>
      <c r="D11" s="23">
        <v>9.25</v>
      </c>
      <c r="E11" s="23">
        <v>6.25</v>
      </c>
      <c r="F11" s="23">
        <v>2.75</v>
      </c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18.25</v>
      </c>
    </row>
    <row r="12" spans="1:16" ht="20.25" customHeight="1" x14ac:dyDescent="0.25">
      <c r="A12" s="22" t="s">
        <v>27</v>
      </c>
      <c r="B12" s="23"/>
      <c r="C12" s="23">
        <v>1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20</v>
      </c>
      <c r="B13" s="23">
        <v>3</v>
      </c>
      <c r="C13" s="23">
        <v>0.5</v>
      </c>
      <c r="D13" s="23"/>
      <c r="E13" s="23"/>
      <c r="F13" s="23"/>
      <c r="G13" s="23"/>
      <c r="H13" s="23"/>
      <c r="I13" s="23"/>
      <c r="J13" s="23">
        <v>1</v>
      </c>
      <c r="K13" s="23">
        <v>1</v>
      </c>
      <c r="L13" s="23"/>
      <c r="M13" s="23"/>
      <c r="N13" s="23"/>
      <c r="O13" s="23"/>
      <c r="P13" s="24">
        <f t="shared" si="1"/>
        <v>5.5</v>
      </c>
    </row>
    <row r="14" spans="1:16" ht="20.25" customHeight="1" x14ac:dyDescent="0.25">
      <c r="A14" s="22" t="s">
        <v>21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>
        <v>5</v>
      </c>
      <c r="N14" s="23"/>
      <c r="O14" s="23"/>
      <c r="P14" s="24">
        <f t="shared" si="1"/>
        <v>5</v>
      </c>
    </row>
    <row r="15" spans="1:16" ht="20.25" customHeight="1" x14ac:dyDescent="0.25">
      <c r="A15" s="22" t="s">
        <v>54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>
        <v>2.5</v>
      </c>
      <c r="M15" s="23">
        <v>0.25</v>
      </c>
      <c r="N15" s="23"/>
      <c r="O15" s="23"/>
      <c r="P15" s="24">
        <f t="shared" si="1"/>
        <v>2.75</v>
      </c>
    </row>
    <row r="16" spans="1:16" ht="20.25" customHeight="1" x14ac:dyDescent="0.25">
      <c r="A16" s="22" t="s">
        <v>43</v>
      </c>
      <c r="B16" s="23"/>
      <c r="C16" s="23"/>
      <c r="D16" s="23"/>
      <c r="E16" s="23"/>
      <c r="F16" s="23"/>
      <c r="G16" s="23"/>
      <c r="H16" s="23"/>
      <c r="I16" s="23">
        <v>1</v>
      </c>
      <c r="J16" s="23"/>
      <c r="K16" s="23"/>
      <c r="L16" s="23"/>
      <c r="M16" s="23"/>
      <c r="N16" s="23"/>
      <c r="O16" s="23"/>
      <c r="P16" s="24">
        <f t="shared" si="1"/>
        <v>1</v>
      </c>
    </row>
    <row r="17" spans="1:20" ht="20.25" customHeight="1" x14ac:dyDescent="0.25">
      <c r="A17" s="22" t="s">
        <v>30</v>
      </c>
      <c r="B17" s="23">
        <v>3.25</v>
      </c>
      <c r="C17" s="23">
        <v>2</v>
      </c>
      <c r="D17" s="23"/>
      <c r="E17" s="23"/>
      <c r="F17" s="23"/>
      <c r="G17" s="23"/>
      <c r="H17" s="23"/>
      <c r="I17" s="23"/>
      <c r="J17" s="23">
        <v>0.25</v>
      </c>
      <c r="K17" s="23">
        <v>0.25</v>
      </c>
      <c r="L17" s="23">
        <v>2</v>
      </c>
      <c r="M17" s="23"/>
      <c r="N17" s="23"/>
      <c r="O17" s="23"/>
      <c r="P17" s="24">
        <f t="shared" si="1"/>
        <v>7.75</v>
      </c>
    </row>
    <row r="18" spans="1:20" ht="20.25" customHeight="1" x14ac:dyDescent="0.25">
      <c r="A18" s="22" t="s">
        <v>28</v>
      </c>
      <c r="B18" s="23"/>
      <c r="C18" s="23"/>
      <c r="D18" s="23"/>
      <c r="E18" s="23"/>
      <c r="F18" s="23">
        <v>1</v>
      </c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1</v>
      </c>
    </row>
    <row r="19" spans="1:20" ht="20.25" customHeight="1" x14ac:dyDescent="0.25">
      <c r="A19" s="22" t="s">
        <v>22</v>
      </c>
      <c r="B19" s="23"/>
      <c r="C19" s="23"/>
      <c r="D19" s="23"/>
      <c r="E19" s="23"/>
      <c r="F19" s="23"/>
      <c r="G19" s="23"/>
      <c r="H19" s="23"/>
      <c r="I19" s="23"/>
      <c r="J19" s="23">
        <v>1</v>
      </c>
      <c r="K19" s="23"/>
      <c r="L19" s="23">
        <v>2.5</v>
      </c>
      <c r="M19" s="23"/>
      <c r="N19" s="23"/>
      <c r="O19" s="23"/>
      <c r="P19" s="24">
        <f t="shared" si="1"/>
        <v>3.5</v>
      </c>
    </row>
    <row r="20" spans="1:20" ht="20.25" customHeight="1" x14ac:dyDescent="0.25">
      <c r="A20" s="22" t="s">
        <v>55</v>
      </c>
      <c r="B20" s="23"/>
      <c r="C20" s="23"/>
      <c r="D20" s="23">
        <v>2</v>
      </c>
      <c r="E20" s="23">
        <v>2</v>
      </c>
      <c r="F20" s="23">
        <v>2</v>
      </c>
      <c r="G20" s="23"/>
      <c r="H20" s="23"/>
      <c r="I20" s="23">
        <v>3</v>
      </c>
      <c r="J20" s="23"/>
      <c r="K20" s="23"/>
      <c r="L20" s="23"/>
      <c r="M20" s="23">
        <v>1.5</v>
      </c>
      <c r="N20" s="23"/>
      <c r="O20" s="23"/>
      <c r="P20" s="24">
        <f t="shared" si="1"/>
        <v>10.5</v>
      </c>
    </row>
    <row r="21" spans="1:20" ht="20.25" customHeight="1" x14ac:dyDescent="0.25">
      <c r="A21" s="22" t="s">
        <v>18</v>
      </c>
      <c r="B21" s="23"/>
      <c r="C21" s="23">
        <v>1.25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4">
        <f t="shared" si="1"/>
        <v>1.25</v>
      </c>
    </row>
    <row r="22" spans="1:20" ht="20.25" customHeight="1" x14ac:dyDescent="0.2">
      <c r="A22" s="15" t="s">
        <v>39</v>
      </c>
      <c r="B22" s="14">
        <f t="shared" ref="B22:P22" si="2">SUM(B7:B21)</f>
        <v>8.5</v>
      </c>
      <c r="C22" s="14">
        <f t="shared" si="2"/>
        <v>6.25</v>
      </c>
      <c r="D22" s="14">
        <f t="shared" si="2"/>
        <v>11.25</v>
      </c>
      <c r="E22" s="14">
        <f t="shared" si="2"/>
        <v>8.25</v>
      </c>
      <c r="F22" s="14">
        <f t="shared" si="2"/>
        <v>5.75</v>
      </c>
      <c r="G22" s="14">
        <f t="shared" si="2"/>
        <v>0</v>
      </c>
      <c r="H22" s="14">
        <f t="shared" si="2"/>
        <v>0</v>
      </c>
      <c r="I22" s="14">
        <f t="shared" si="2"/>
        <v>12</v>
      </c>
      <c r="J22" s="14">
        <f t="shared" si="2"/>
        <v>7.75</v>
      </c>
      <c r="K22" s="14">
        <f t="shared" si="2"/>
        <v>7.5</v>
      </c>
      <c r="L22" s="14">
        <f t="shared" si="2"/>
        <v>8</v>
      </c>
      <c r="M22" s="14">
        <f t="shared" si="2"/>
        <v>7.25</v>
      </c>
      <c r="N22" s="14">
        <f t="shared" si="2"/>
        <v>0</v>
      </c>
      <c r="O22" s="14">
        <f t="shared" si="2"/>
        <v>0</v>
      </c>
      <c r="P22" s="14">
        <f t="shared" si="2"/>
        <v>82.5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42.5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113" priority="6" operator="greaterThan">
      <formula>8</formula>
    </cfRule>
    <cfRule type="cellIs" dxfId="112" priority="135" operator="equal">
      <formula>8</formula>
    </cfRule>
  </conditionalFormatting>
  <conditionalFormatting sqref="P7:P21">
    <cfRule type="cellIs" dxfId="111" priority="5" operator="greaterThan">
      <formula>80</formula>
    </cfRule>
  </conditionalFormatting>
  <conditionalFormatting sqref="P22">
    <cfRule type="cellIs" dxfId="110" priority="4" operator="greaterThan">
      <formula>80</formula>
    </cfRule>
    <cfRule type="cellIs" dxfId="109" priority="136" operator="equal">
      <formula>80</formula>
    </cfRule>
  </conditionalFormatting>
  <conditionalFormatting sqref="H23">
    <cfRule type="cellIs" dxfId="108" priority="3" operator="greaterThan">
      <formula>40</formula>
    </cfRule>
    <cfRule type="cellIs" dxfId="107" priority="137" operator="equal">
      <formula>40</formula>
    </cfRule>
  </conditionalFormatting>
  <conditionalFormatting sqref="O23">
    <cfRule type="cellIs" dxfId="106" priority="2" operator="greaterThan">
      <formula>40</formula>
    </cfRule>
    <cfRule type="cellIs" dxfId="105" priority="138" operator="equal">
      <formula>40</formula>
    </cfRule>
  </conditionalFormatting>
  <conditionalFormatting sqref="G22:H22 N22:O22">
    <cfRule type="cellIs" dxfId="10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4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34145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T217"/>
  <sheetViews>
    <sheetView workbookViewId="0">
      <selection activeCell="T16" sqref="T1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INDEX(Refs!D:D,MATCH('FY13-08'!B1 &amp; 'FY13-08'!B2,Refs!K:K,0))</f>
        <v>41365</v>
      </c>
      <c r="C5" s="12">
        <f>B5+1</f>
        <v>41366</v>
      </c>
      <c r="D5" s="12">
        <f t="shared" ref="D5:O5" si="0">C5+1</f>
        <v>41367</v>
      </c>
      <c r="E5" s="12">
        <f t="shared" si="0"/>
        <v>41368</v>
      </c>
      <c r="F5" s="12">
        <f t="shared" si="0"/>
        <v>41369</v>
      </c>
      <c r="G5" s="12">
        <f t="shared" si="0"/>
        <v>41370</v>
      </c>
      <c r="H5" s="12">
        <f t="shared" si="0"/>
        <v>41371</v>
      </c>
      <c r="I5" s="12">
        <f t="shared" si="0"/>
        <v>41372</v>
      </c>
      <c r="J5" s="12">
        <f t="shared" si="0"/>
        <v>41373</v>
      </c>
      <c r="K5" s="12">
        <f t="shared" si="0"/>
        <v>41374</v>
      </c>
      <c r="L5" s="12">
        <f t="shared" si="0"/>
        <v>41375</v>
      </c>
      <c r="M5" s="12">
        <f t="shared" si="0"/>
        <v>41376</v>
      </c>
      <c r="N5" s="12">
        <f t="shared" si="0"/>
        <v>41377</v>
      </c>
      <c r="O5" s="12">
        <f t="shared" si="0"/>
        <v>41378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0.75</v>
      </c>
      <c r="C7" s="23">
        <v>1</v>
      </c>
      <c r="D7" s="23">
        <v>0.25</v>
      </c>
      <c r="E7" s="23">
        <v>0.75</v>
      </c>
      <c r="F7" s="23">
        <v>1</v>
      </c>
      <c r="G7" s="23"/>
      <c r="H7" s="23"/>
      <c r="I7" s="23">
        <v>1.5</v>
      </c>
      <c r="J7" s="23">
        <v>3.25</v>
      </c>
      <c r="K7" s="23">
        <v>0.5</v>
      </c>
      <c r="L7" s="23"/>
      <c r="M7" s="23">
        <v>1.25</v>
      </c>
      <c r="N7" s="23"/>
      <c r="O7" s="23"/>
      <c r="P7" s="24">
        <f t="shared" ref="P7:P16" si="1">SUM(B7:O7)</f>
        <v>10.25</v>
      </c>
    </row>
    <row r="8" spans="1:16" ht="20.25" customHeight="1" x14ac:dyDescent="0.25">
      <c r="A8" s="22" t="s">
        <v>29</v>
      </c>
      <c r="B8" s="23">
        <v>0.5</v>
      </c>
      <c r="C8" s="23"/>
      <c r="D8" s="23"/>
      <c r="E8" s="23"/>
      <c r="F8" s="23"/>
      <c r="G8" s="23"/>
      <c r="H8" s="23"/>
      <c r="I8" s="23">
        <v>0.25</v>
      </c>
      <c r="J8" s="23"/>
      <c r="K8" s="23"/>
      <c r="L8" s="23"/>
      <c r="M8" s="23"/>
      <c r="N8" s="23"/>
      <c r="O8" s="23"/>
      <c r="P8" s="24">
        <f t="shared" si="1"/>
        <v>0.75</v>
      </c>
    </row>
    <row r="9" spans="1:16" ht="20.25" customHeight="1" x14ac:dyDescent="0.25">
      <c r="A9" s="22" t="s">
        <v>20</v>
      </c>
      <c r="B9" s="23">
        <v>1.5</v>
      </c>
      <c r="C9" s="23">
        <v>1</v>
      </c>
      <c r="D9" s="23"/>
      <c r="E9" s="23"/>
      <c r="F9" s="23"/>
      <c r="G9" s="23"/>
      <c r="H9" s="23"/>
      <c r="I9" s="23">
        <v>1</v>
      </c>
      <c r="J9" s="23"/>
      <c r="K9" s="23"/>
      <c r="L9" s="23"/>
      <c r="M9" s="23"/>
      <c r="N9" s="23"/>
      <c r="O9" s="23"/>
      <c r="P9" s="24">
        <f t="shared" si="1"/>
        <v>3.5</v>
      </c>
    </row>
    <row r="10" spans="1:16" ht="20.25" customHeight="1" x14ac:dyDescent="0.25">
      <c r="A10" s="22" t="s">
        <v>54</v>
      </c>
      <c r="B10" s="23">
        <v>4.25</v>
      </c>
      <c r="C10" s="23">
        <v>2.5</v>
      </c>
      <c r="D10" s="23">
        <v>4.5</v>
      </c>
      <c r="E10" s="23">
        <v>5</v>
      </c>
      <c r="F10" s="23">
        <v>2</v>
      </c>
      <c r="G10" s="23"/>
      <c r="H10" s="23"/>
      <c r="I10" s="23">
        <v>3.75</v>
      </c>
      <c r="J10" s="23">
        <v>2.75</v>
      </c>
      <c r="K10" s="23">
        <v>5.75</v>
      </c>
      <c r="L10" s="23"/>
      <c r="M10" s="23">
        <v>3</v>
      </c>
      <c r="N10" s="23"/>
      <c r="O10" s="23"/>
      <c r="P10" s="24">
        <f t="shared" si="1"/>
        <v>33.5</v>
      </c>
    </row>
    <row r="11" spans="1:16" ht="20.25" customHeight="1" x14ac:dyDescent="0.25">
      <c r="A11" s="22" t="s">
        <v>43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>
        <v>3.5</v>
      </c>
      <c r="O11" s="23"/>
      <c r="P11" s="24">
        <f t="shared" si="1"/>
        <v>3.5</v>
      </c>
    </row>
    <row r="12" spans="1:16" ht="20.25" customHeight="1" x14ac:dyDescent="0.25">
      <c r="A12" s="22" t="s">
        <v>30</v>
      </c>
      <c r="B12" s="23">
        <v>1.25</v>
      </c>
      <c r="C12" s="23">
        <v>2</v>
      </c>
      <c r="D12" s="23">
        <v>3</v>
      </c>
      <c r="E12" s="23">
        <v>2</v>
      </c>
      <c r="F12" s="23">
        <v>3.5</v>
      </c>
      <c r="G12" s="23"/>
      <c r="H12" s="23"/>
      <c r="I12" s="23">
        <v>2</v>
      </c>
      <c r="J12" s="23">
        <v>1.5</v>
      </c>
      <c r="K12" s="23"/>
      <c r="L12" s="23"/>
      <c r="M12" s="23">
        <v>3</v>
      </c>
      <c r="N12" s="23"/>
      <c r="O12" s="23"/>
      <c r="P12" s="24">
        <f t="shared" si="1"/>
        <v>18.25</v>
      </c>
    </row>
    <row r="13" spans="1:16" ht="20.25" customHeight="1" x14ac:dyDescent="0.25">
      <c r="A13" s="22" t="s">
        <v>28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>
        <v>4</v>
      </c>
      <c r="M13" s="23"/>
      <c r="N13" s="23"/>
      <c r="O13" s="23"/>
      <c r="P13" s="24">
        <f t="shared" si="1"/>
        <v>4</v>
      </c>
    </row>
    <row r="14" spans="1:16" ht="20.25" customHeight="1" x14ac:dyDescent="0.25">
      <c r="A14" s="22" t="s">
        <v>23</v>
      </c>
      <c r="B14" s="23"/>
      <c r="C14" s="23">
        <v>2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2</v>
      </c>
    </row>
    <row r="15" spans="1:16" ht="20.25" customHeight="1" x14ac:dyDescent="0.25">
      <c r="A15" s="22" t="s">
        <v>55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1</v>
      </c>
      <c r="O15" s="23"/>
      <c r="P15" s="24">
        <f t="shared" si="1"/>
        <v>1</v>
      </c>
    </row>
    <row r="16" spans="1:16" ht="20.25" customHeight="1" x14ac:dyDescent="0.25">
      <c r="A16" s="22" t="s">
        <v>18</v>
      </c>
      <c r="B16" s="23"/>
      <c r="C16" s="23">
        <v>1.25</v>
      </c>
      <c r="D16" s="23"/>
      <c r="E16" s="23"/>
      <c r="F16" s="23"/>
      <c r="G16" s="23"/>
      <c r="H16" s="23"/>
      <c r="I16" s="23"/>
      <c r="J16" s="23">
        <v>0.25</v>
      </c>
      <c r="K16" s="23">
        <v>0.75</v>
      </c>
      <c r="L16" s="23"/>
      <c r="M16" s="23">
        <v>1</v>
      </c>
      <c r="N16" s="23"/>
      <c r="O16" s="23"/>
      <c r="P16" s="24">
        <f t="shared" si="1"/>
        <v>3.25</v>
      </c>
    </row>
    <row r="17" spans="1:20" ht="20.25" customHeight="1" x14ac:dyDescent="0.2">
      <c r="A17" s="15" t="s">
        <v>39</v>
      </c>
      <c r="B17" s="14">
        <f t="shared" ref="B17:P17" si="2">SUM(B7:B16)</f>
        <v>8.25</v>
      </c>
      <c r="C17" s="14">
        <f t="shared" si="2"/>
        <v>9.75</v>
      </c>
      <c r="D17" s="14">
        <f t="shared" si="2"/>
        <v>7.75</v>
      </c>
      <c r="E17" s="14">
        <f t="shared" si="2"/>
        <v>7.75</v>
      </c>
      <c r="F17" s="14">
        <f t="shared" si="2"/>
        <v>6.5</v>
      </c>
      <c r="G17" s="14">
        <f t="shared" si="2"/>
        <v>0</v>
      </c>
      <c r="H17" s="14">
        <f t="shared" si="2"/>
        <v>0</v>
      </c>
      <c r="I17" s="14">
        <f t="shared" si="2"/>
        <v>8.5</v>
      </c>
      <c r="J17" s="14">
        <f t="shared" si="2"/>
        <v>7.75</v>
      </c>
      <c r="K17" s="14">
        <f t="shared" si="2"/>
        <v>7</v>
      </c>
      <c r="L17" s="14">
        <f t="shared" si="2"/>
        <v>4</v>
      </c>
      <c r="M17" s="14">
        <f t="shared" si="2"/>
        <v>8.25</v>
      </c>
      <c r="N17" s="14">
        <f t="shared" si="2"/>
        <v>4.5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2" t="s">
        <v>57</v>
      </c>
      <c r="H18" s="14">
        <f>SUM(B17:H17)</f>
        <v>40</v>
      </c>
      <c r="I18"/>
      <c r="J18"/>
      <c r="K18"/>
      <c r="L18"/>
      <c r="M18"/>
      <c r="N18" s="22" t="s">
        <v>58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conditionalFormatting sqref="G17:H17 N17:O17">
    <cfRule type="cellIs" dxfId="103" priority="1" operator="greaterThan">
      <formula>8</formula>
    </cfRule>
  </conditionalFormatting>
  <conditionalFormatting sqref="B17:F17 I17:M17">
    <cfRule type="cellIs" dxfId="102" priority="6" operator="greaterThan">
      <formula>8</formula>
    </cfRule>
    <cfRule type="cellIs" dxfId="101" priority="87" operator="equal">
      <formula>8</formula>
    </cfRule>
  </conditionalFormatting>
  <conditionalFormatting sqref="P7:P16">
    <cfRule type="cellIs" dxfId="100" priority="5" operator="greaterThan">
      <formula>80</formula>
    </cfRule>
  </conditionalFormatting>
  <conditionalFormatting sqref="P17">
    <cfRule type="cellIs" dxfId="99" priority="4" operator="greaterThan">
      <formula>80</formula>
    </cfRule>
    <cfRule type="cellIs" dxfId="98" priority="88" operator="equal">
      <formula>80</formula>
    </cfRule>
  </conditionalFormatting>
  <conditionalFormatting sqref="H18">
    <cfRule type="cellIs" dxfId="97" priority="3" operator="greaterThan">
      <formula>40</formula>
    </cfRule>
    <cfRule type="cellIs" dxfId="96" priority="89" operator="equal">
      <formula>40</formula>
    </cfRule>
  </conditionalFormatting>
  <conditionalFormatting sqref="O18">
    <cfRule type="cellIs" dxfId="95" priority="2" operator="greaterThan">
      <formula>40</formula>
    </cfRule>
    <cfRule type="cellIs" dxfId="94" priority="9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57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57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T220"/>
  <sheetViews>
    <sheetView workbookViewId="0">
      <selection activeCell="K26" sqref="K2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INDEX(Refs!D:D,MATCH('FY13-07'!B1 &amp; 'FY13-07'!B2,Refs!K:K,0))</f>
        <v>41351</v>
      </c>
      <c r="C5" s="12">
        <f>B5+1</f>
        <v>41352</v>
      </c>
      <c r="D5" s="12">
        <f t="shared" ref="D5:O5" si="0">C5+1</f>
        <v>41353</v>
      </c>
      <c r="E5" s="12">
        <f t="shared" si="0"/>
        <v>41354</v>
      </c>
      <c r="F5" s="12">
        <f t="shared" si="0"/>
        <v>41355</v>
      </c>
      <c r="G5" s="12">
        <f t="shared" si="0"/>
        <v>41356</v>
      </c>
      <c r="H5" s="12">
        <f t="shared" si="0"/>
        <v>41357</v>
      </c>
      <c r="I5" s="12">
        <f t="shared" si="0"/>
        <v>41358</v>
      </c>
      <c r="J5" s="12">
        <f t="shared" si="0"/>
        <v>41359</v>
      </c>
      <c r="K5" s="12">
        <f t="shared" si="0"/>
        <v>41360</v>
      </c>
      <c r="L5" s="12">
        <f t="shared" si="0"/>
        <v>41361</v>
      </c>
      <c r="M5" s="12">
        <f t="shared" si="0"/>
        <v>41362</v>
      </c>
      <c r="N5" s="12">
        <f t="shared" si="0"/>
        <v>41363</v>
      </c>
      <c r="O5" s="12">
        <f t="shared" si="0"/>
        <v>41364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</v>
      </c>
      <c r="C7" s="23">
        <v>1</v>
      </c>
      <c r="D7" s="23">
        <v>1</v>
      </c>
      <c r="E7" s="23">
        <v>1</v>
      </c>
      <c r="F7" s="23">
        <v>1</v>
      </c>
      <c r="G7" s="23"/>
      <c r="H7" s="23"/>
      <c r="I7" s="23">
        <v>1</v>
      </c>
      <c r="J7" s="23">
        <v>0.5</v>
      </c>
      <c r="K7" s="23"/>
      <c r="L7" s="23">
        <v>0.75</v>
      </c>
      <c r="M7" s="23"/>
      <c r="N7" s="23"/>
      <c r="O7" s="23"/>
      <c r="P7" s="24">
        <f t="shared" ref="P7:P19" si="1">SUM(B7:O7)</f>
        <v>7.25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/>
      <c r="H8" s="23"/>
      <c r="I8" s="23"/>
      <c r="J8" s="23"/>
      <c r="K8" s="23"/>
      <c r="L8" s="23">
        <v>0.5</v>
      </c>
      <c r="M8" s="23"/>
      <c r="N8" s="23"/>
      <c r="O8" s="23"/>
      <c r="P8" s="24">
        <f t="shared" si="1"/>
        <v>2</v>
      </c>
    </row>
    <row r="9" spans="1:16" ht="20.25" customHeight="1" x14ac:dyDescent="0.25">
      <c r="A9" s="22" t="s">
        <v>26</v>
      </c>
      <c r="B9" s="23">
        <v>1.5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1.5</v>
      </c>
    </row>
    <row r="10" spans="1:16" ht="20.25" customHeight="1" x14ac:dyDescent="0.25">
      <c r="A10" s="22" t="s">
        <v>27</v>
      </c>
      <c r="B10" s="23"/>
      <c r="C10" s="23">
        <v>0.75</v>
      </c>
      <c r="D10" s="23">
        <v>0.75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1.5</v>
      </c>
    </row>
    <row r="11" spans="1:16" ht="20.25" customHeight="1" x14ac:dyDescent="0.25">
      <c r="A11" s="22" t="s">
        <v>53</v>
      </c>
      <c r="B11" s="23">
        <v>0.5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0.5</v>
      </c>
    </row>
    <row r="12" spans="1:16" ht="20.25" customHeight="1" x14ac:dyDescent="0.25">
      <c r="A12" s="22" t="s">
        <v>20</v>
      </c>
      <c r="B12" s="23"/>
      <c r="C12" s="23">
        <v>1.75</v>
      </c>
      <c r="D12" s="23"/>
      <c r="E12" s="23"/>
      <c r="F12" s="23">
        <v>4.25</v>
      </c>
      <c r="G12" s="23"/>
      <c r="H12" s="23"/>
      <c r="I12" s="23">
        <v>0.75</v>
      </c>
      <c r="J12" s="23"/>
      <c r="K12" s="23"/>
      <c r="L12" s="23">
        <v>2</v>
      </c>
      <c r="M12" s="23"/>
      <c r="N12" s="23"/>
      <c r="O12" s="23"/>
      <c r="P12" s="24">
        <f t="shared" si="1"/>
        <v>8.75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>
        <v>0.75</v>
      </c>
      <c r="L13" s="23"/>
      <c r="M13" s="23"/>
      <c r="N13" s="23"/>
      <c r="O13" s="23"/>
      <c r="P13" s="24">
        <f t="shared" si="1"/>
        <v>0.75</v>
      </c>
    </row>
    <row r="14" spans="1:16" ht="20.25" customHeight="1" x14ac:dyDescent="0.25">
      <c r="A14" s="22" t="s">
        <v>54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0</v>
      </c>
    </row>
    <row r="15" spans="1:16" ht="20.25" customHeight="1" x14ac:dyDescent="0.25">
      <c r="A15" s="22" t="s">
        <v>30</v>
      </c>
      <c r="B15" s="23">
        <v>1.75</v>
      </c>
      <c r="C15" s="23">
        <v>4.25</v>
      </c>
      <c r="D15" s="23">
        <v>5.25</v>
      </c>
      <c r="E15" s="23">
        <v>5.5</v>
      </c>
      <c r="F15" s="23"/>
      <c r="G15" s="23"/>
      <c r="H15" s="23"/>
      <c r="I15" s="23">
        <v>6</v>
      </c>
      <c r="J15" s="23">
        <v>7.5</v>
      </c>
      <c r="K15" s="23">
        <v>4.75</v>
      </c>
      <c r="L15" s="23">
        <v>2.5</v>
      </c>
      <c r="M15" s="23"/>
      <c r="N15" s="23"/>
      <c r="O15" s="23"/>
      <c r="P15" s="24">
        <f t="shared" si="1"/>
        <v>37.5</v>
      </c>
    </row>
    <row r="16" spans="1:16" ht="20.25" customHeight="1" x14ac:dyDescent="0.25">
      <c r="A16" s="22" t="s">
        <v>28</v>
      </c>
      <c r="B16" s="23"/>
      <c r="C16" s="23"/>
      <c r="D16" s="23"/>
      <c r="E16" s="23"/>
      <c r="F16" s="23"/>
      <c r="G16" s="23"/>
      <c r="H16" s="23"/>
      <c r="I16" s="23">
        <v>0.25</v>
      </c>
      <c r="J16" s="23"/>
      <c r="K16" s="23"/>
      <c r="L16" s="23">
        <v>2.75</v>
      </c>
      <c r="M16" s="23"/>
      <c r="N16" s="23"/>
      <c r="O16" s="23"/>
      <c r="P16" s="24">
        <f t="shared" si="1"/>
        <v>3</v>
      </c>
    </row>
    <row r="17" spans="1:20" ht="20.25" customHeight="1" x14ac:dyDescent="0.25">
      <c r="A17" s="22" t="s">
        <v>23</v>
      </c>
      <c r="B17" s="23"/>
      <c r="C17" s="23"/>
      <c r="D17" s="23"/>
      <c r="E17" s="23">
        <v>1.5</v>
      </c>
      <c r="F17" s="23"/>
      <c r="G17" s="23">
        <v>7.75</v>
      </c>
      <c r="H17" s="23"/>
      <c r="I17" s="23"/>
      <c r="J17" s="23"/>
      <c r="K17" s="23"/>
      <c r="L17" s="23"/>
      <c r="M17" s="23"/>
      <c r="N17" s="23"/>
      <c r="O17" s="23"/>
      <c r="P17" s="24">
        <f t="shared" si="1"/>
        <v>9.25</v>
      </c>
    </row>
    <row r="18" spans="1:20" ht="20.25" customHeight="1" x14ac:dyDescent="0.25">
      <c r="A18" s="22" t="s">
        <v>55</v>
      </c>
      <c r="B18" s="23"/>
      <c r="C18" s="23"/>
      <c r="D18" s="23"/>
      <c r="E18" s="23">
        <v>0.5</v>
      </c>
      <c r="F18" s="23"/>
      <c r="G18" s="23"/>
      <c r="H18" s="23"/>
      <c r="I18" s="23"/>
      <c r="J18" s="23"/>
      <c r="K18" s="23">
        <v>1.5</v>
      </c>
      <c r="L18" s="23"/>
      <c r="M18" s="23"/>
      <c r="N18" s="23"/>
      <c r="O18" s="23"/>
      <c r="P18" s="24">
        <f t="shared" si="1"/>
        <v>2</v>
      </c>
    </row>
    <row r="19" spans="1:20" ht="20.25" customHeight="1" x14ac:dyDescent="0.25">
      <c r="A19" s="22" t="s">
        <v>18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>
        <v>0.5</v>
      </c>
      <c r="M19" s="23"/>
      <c r="N19" s="23"/>
      <c r="O19" s="23"/>
      <c r="P19" s="24">
        <f t="shared" si="1"/>
        <v>0.5</v>
      </c>
    </row>
    <row r="20" spans="1:20" ht="20.25" customHeight="1" x14ac:dyDescent="0.2">
      <c r="A20" s="15" t="s">
        <v>39</v>
      </c>
      <c r="B20" s="14">
        <f t="shared" ref="B20:P20" si="2">SUM(B7:B19)</f>
        <v>6.25</v>
      </c>
      <c r="C20" s="14">
        <f t="shared" si="2"/>
        <v>7.75</v>
      </c>
      <c r="D20" s="14">
        <f t="shared" si="2"/>
        <v>7</v>
      </c>
      <c r="E20" s="14">
        <f t="shared" si="2"/>
        <v>8.5</v>
      </c>
      <c r="F20" s="14">
        <f t="shared" si="2"/>
        <v>5.25</v>
      </c>
      <c r="G20" s="14">
        <f t="shared" si="2"/>
        <v>7.75</v>
      </c>
      <c r="H20" s="14">
        <f t="shared" si="2"/>
        <v>0</v>
      </c>
      <c r="I20" s="14">
        <f t="shared" si="2"/>
        <v>8</v>
      </c>
      <c r="J20" s="14">
        <f t="shared" si="2"/>
        <v>8</v>
      </c>
      <c r="K20" s="14">
        <f t="shared" si="2"/>
        <v>7</v>
      </c>
      <c r="L20" s="14">
        <f t="shared" si="2"/>
        <v>9</v>
      </c>
      <c r="M20" s="14">
        <f t="shared" si="2"/>
        <v>0</v>
      </c>
      <c r="N20" s="14">
        <f t="shared" si="2"/>
        <v>0</v>
      </c>
      <c r="O20" s="14">
        <f t="shared" si="2"/>
        <v>0</v>
      </c>
      <c r="P20" s="14">
        <f t="shared" si="2"/>
        <v>74.5</v>
      </c>
    </row>
    <row r="21" spans="1:20" ht="20.25" customHeight="1" x14ac:dyDescent="0.25">
      <c r="A21"/>
      <c r="B21"/>
      <c r="C21"/>
      <c r="D21"/>
      <c r="E21"/>
      <c r="F21"/>
      <c r="G21" s="22" t="s">
        <v>57</v>
      </c>
      <c r="H21" s="14">
        <f>SUM(B20:H20)</f>
        <v>42.5</v>
      </c>
      <c r="I21"/>
      <c r="J21"/>
      <c r="K21"/>
      <c r="L21"/>
      <c r="M21"/>
      <c r="N21" s="22" t="s">
        <v>58</v>
      </c>
      <c r="O21" s="14">
        <f>SUM(I20:O20)</f>
        <v>32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conditionalFormatting sqref="B20:F20 I20:M20">
    <cfRule type="cellIs" dxfId="93" priority="6" operator="greaterThan">
      <formula>8</formula>
    </cfRule>
    <cfRule type="cellIs" dxfId="92" priority="103" operator="equal">
      <formula>8</formula>
    </cfRule>
  </conditionalFormatting>
  <conditionalFormatting sqref="P7:P19">
    <cfRule type="cellIs" dxfId="91" priority="5" operator="greaterThan">
      <formula>80</formula>
    </cfRule>
  </conditionalFormatting>
  <conditionalFormatting sqref="P20">
    <cfRule type="cellIs" dxfId="90" priority="4" operator="greaterThan">
      <formula>80</formula>
    </cfRule>
    <cfRule type="cellIs" dxfId="89" priority="104" operator="equal">
      <formula>80</formula>
    </cfRule>
  </conditionalFormatting>
  <conditionalFormatting sqref="H21">
    <cfRule type="cellIs" dxfId="88" priority="3" operator="greaterThan">
      <formula>40</formula>
    </cfRule>
    <cfRule type="cellIs" dxfId="87" priority="105" operator="equal">
      <formula>40</formula>
    </cfRule>
  </conditionalFormatting>
  <conditionalFormatting sqref="O21">
    <cfRule type="cellIs" dxfId="86" priority="2" operator="greaterThan">
      <formula>40</formula>
    </cfRule>
    <cfRule type="cellIs" dxfId="85" priority="106" operator="equal">
      <formula>40</formula>
    </cfRule>
  </conditionalFormatting>
  <conditionalFormatting sqref="G20:H20 N20:O20">
    <cfRule type="cellIs" dxfId="8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83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830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T219"/>
  <sheetViews>
    <sheetView workbookViewId="0">
      <selection activeCell="N9" sqref="N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INDEX(Refs!D:D,MATCH('FY13-06'!B1 &amp; 'FY13-06'!B2,Refs!K:K,0))</f>
        <v>41337</v>
      </c>
      <c r="C5" s="12">
        <f>B5+1</f>
        <v>41338</v>
      </c>
      <c r="D5" s="12">
        <f t="shared" ref="D5:O5" si="0">C5+1</f>
        <v>41339</v>
      </c>
      <c r="E5" s="12">
        <f t="shared" si="0"/>
        <v>41340</v>
      </c>
      <c r="F5" s="12">
        <f t="shared" si="0"/>
        <v>41341</v>
      </c>
      <c r="G5" s="12">
        <f t="shared" si="0"/>
        <v>41342</v>
      </c>
      <c r="H5" s="12">
        <f t="shared" si="0"/>
        <v>41343</v>
      </c>
      <c r="I5" s="12">
        <f t="shared" si="0"/>
        <v>41344</v>
      </c>
      <c r="J5" s="12">
        <f t="shared" si="0"/>
        <v>41345</v>
      </c>
      <c r="K5" s="12">
        <f t="shared" si="0"/>
        <v>41346</v>
      </c>
      <c r="L5" s="12">
        <f t="shared" si="0"/>
        <v>41347</v>
      </c>
      <c r="M5" s="12">
        <f t="shared" si="0"/>
        <v>41348</v>
      </c>
      <c r="N5" s="12">
        <f t="shared" si="0"/>
        <v>41349</v>
      </c>
      <c r="O5" s="12">
        <f t="shared" si="0"/>
        <v>41350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3.25</v>
      </c>
      <c r="C7" s="23">
        <v>2</v>
      </c>
      <c r="D7" s="23">
        <v>2</v>
      </c>
      <c r="E7" s="23">
        <v>1.75</v>
      </c>
      <c r="F7" s="23">
        <v>0.5</v>
      </c>
      <c r="G7" s="23"/>
      <c r="H7" s="23"/>
      <c r="I7" s="23"/>
      <c r="J7" s="23"/>
      <c r="K7" s="23"/>
      <c r="L7" s="23"/>
      <c r="M7" s="23"/>
      <c r="N7" s="23"/>
      <c r="O7" s="23"/>
      <c r="P7" s="24">
        <f t="shared" ref="P7:P18" si="1">SUM(B7:O7)</f>
        <v>9.5</v>
      </c>
    </row>
    <row r="8" spans="1:16" ht="20.25" customHeight="1" x14ac:dyDescent="0.25">
      <c r="A8" s="22" t="s">
        <v>29</v>
      </c>
      <c r="B8" s="23"/>
      <c r="C8" s="23"/>
      <c r="D8" s="23"/>
      <c r="E8" s="23"/>
      <c r="F8" s="23">
        <v>0.5</v>
      </c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0.5</v>
      </c>
    </row>
    <row r="9" spans="1:16" ht="20.25" customHeight="1" x14ac:dyDescent="0.25">
      <c r="A9" s="22" t="s">
        <v>24</v>
      </c>
      <c r="B9" s="23"/>
      <c r="C9" s="23"/>
      <c r="D9" s="23"/>
      <c r="E9" s="23"/>
      <c r="F9" s="23"/>
      <c r="G9" s="23"/>
      <c r="H9" s="23"/>
      <c r="I9" s="23">
        <v>6</v>
      </c>
      <c r="J9" s="23">
        <v>8.75</v>
      </c>
      <c r="K9" s="23">
        <v>9</v>
      </c>
      <c r="L9" s="23">
        <v>7.5</v>
      </c>
      <c r="M9" s="23">
        <v>8.75</v>
      </c>
      <c r="N9" s="23"/>
      <c r="O9" s="23"/>
      <c r="P9" s="24">
        <f t="shared" si="1"/>
        <v>40</v>
      </c>
    </row>
    <row r="10" spans="1:16" ht="20.25" customHeight="1" x14ac:dyDescent="0.25">
      <c r="A10" s="22" t="s">
        <v>51</v>
      </c>
      <c r="B10" s="23"/>
      <c r="C10" s="23"/>
      <c r="D10" s="23">
        <v>2.5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2.5</v>
      </c>
    </row>
    <row r="11" spans="1:16" ht="20.25" customHeight="1" x14ac:dyDescent="0.25">
      <c r="A11" s="22" t="s">
        <v>27</v>
      </c>
      <c r="B11" s="23">
        <v>3</v>
      </c>
      <c r="C11" s="23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4</v>
      </c>
    </row>
    <row r="12" spans="1:16" ht="20.25" customHeight="1" x14ac:dyDescent="0.25">
      <c r="A12" s="22" t="s">
        <v>20</v>
      </c>
      <c r="B12" s="23">
        <v>0.75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0.75</v>
      </c>
    </row>
    <row r="13" spans="1:16" ht="20.25" customHeight="1" x14ac:dyDescent="0.25">
      <c r="A13" s="22" t="s">
        <v>21</v>
      </c>
      <c r="B13" s="23"/>
      <c r="C13" s="23">
        <v>1.5</v>
      </c>
      <c r="D13" s="23"/>
      <c r="E13" s="23">
        <v>1.75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3.25</v>
      </c>
    </row>
    <row r="14" spans="1:16" ht="20.25" customHeight="1" x14ac:dyDescent="0.25">
      <c r="A14" s="22" t="s">
        <v>19</v>
      </c>
      <c r="B14" s="23"/>
      <c r="C14" s="23"/>
      <c r="D14" s="23"/>
      <c r="E14" s="23"/>
      <c r="F14" s="23">
        <v>0.25</v>
      </c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0.25</v>
      </c>
    </row>
    <row r="15" spans="1:16" ht="20.25" customHeight="1" x14ac:dyDescent="0.25">
      <c r="A15" s="22" t="s">
        <v>54</v>
      </c>
      <c r="B15" s="23">
        <v>4</v>
      </c>
      <c r="C15" s="23">
        <v>3</v>
      </c>
      <c r="D15" s="23">
        <v>3</v>
      </c>
      <c r="E15" s="23">
        <v>2</v>
      </c>
      <c r="F15" s="23">
        <v>2.25</v>
      </c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14.25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0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>
        <v>3</v>
      </c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3</v>
      </c>
    </row>
    <row r="18" spans="1:20" ht="20.25" customHeight="1" x14ac:dyDescent="0.25">
      <c r="A18" s="22" t="s">
        <v>55</v>
      </c>
      <c r="B18" s="23"/>
      <c r="C18" s="23">
        <v>2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2</v>
      </c>
    </row>
    <row r="19" spans="1:20" ht="20.25" customHeight="1" x14ac:dyDescent="0.2">
      <c r="A19" s="15" t="s">
        <v>39</v>
      </c>
      <c r="B19" s="14">
        <f t="shared" ref="B19:P19" si="2">SUM(B7:B18)</f>
        <v>11</v>
      </c>
      <c r="C19" s="14">
        <f t="shared" si="2"/>
        <v>9.5</v>
      </c>
      <c r="D19" s="14">
        <f t="shared" si="2"/>
        <v>7.5</v>
      </c>
      <c r="E19" s="14">
        <f t="shared" si="2"/>
        <v>5.5</v>
      </c>
      <c r="F19" s="14">
        <f t="shared" si="2"/>
        <v>6.5</v>
      </c>
      <c r="G19" s="14">
        <f t="shared" si="2"/>
        <v>0</v>
      </c>
      <c r="H19" s="14">
        <f t="shared" si="2"/>
        <v>0</v>
      </c>
      <c r="I19" s="14">
        <f t="shared" si="2"/>
        <v>6</v>
      </c>
      <c r="J19" s="14">
        <f t="shared" si="2"/>
        <v>8.75</v>
      </c>
      <c r="K19" s="14">
        <f t="shared" si="2"/>
        <v>9</v>
      </c>
      <c r="L19" s="14">
        <f t="shared" si="2"/>
        <v>7.5</v>
      </c>
      <c r="M19" s="14">
        <f t="shared" si="2"/>
        <v>8.75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83" priority="6" operator="greaterThan">
      <formula>8</formula>
    </cfRule>
    <cfRule type="cellIs" dxfId="82" priority="95" operator="equal">
      <formula>8</formula>
    </cfRule>
  </conditionalFormatting>
  <conditionalFormatting sqref="P7:P18">
    <cfRule type="cellIs" dxfId="81" priority="5" operator="greaterThan">
      <formula>80</formula>
    </cfRule>
  </conditionalFormatting>
  <conditionalFormatting sqref="P19">
    <cfRule type="cellIs" dxfId="80" priority="4" operator="greaterThan">
      <formula>80</formula>
    </cfRule>
    <cfRule type="cellIs" dxfId="79" priority="96" operator="equal">
      <formula>80</formula>
    </cfRule>
  </conditionalFormatting>
  <conditionalFormatting sqref="H20">
    <cfRule type="cellIs" dxfId="78" priority="3" operator="greaterThan">
      <formula>40</formula>
    </cfRule>
    <cfRule type="cellIs" dxfId="77" priority="97" operator="equal">
      <formula>40</formula>
    </cfRule>
  </conditionalFormatting>
  <conditionalFormatting sqref="O20">
    <cfRule type="cellIs" dxfId="76" priority="2" operator="greaterThan">
      <formula>40</formula>
    </cfRule>
    <cfRule type="cellIs" dxfId="75" priority="98" operator="equal">
      <formula>40</formula>
    </cfRule>
  </conditionalFormatting>
  <conditionalFormatting sqref="G19:H19 N19:O19">
    <cfRule type="cellIs" dxfId="7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82945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T221"/>
  <sheetViews>
    <sheetView workbookViewId="0">
      <selection activeCell="U29" sqref="U2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INDEX(Refs!D:D,MATCH('FY13-05'!B1 &amp; 'FY13-05'!B2,Refs!K:K,0))</f>
        <v>41323</v>
      </c>
      <c r="C5" s="12">
        <f>B5+1</f>
        <v>41324</v>
      </c>
      <c r="D5" s="12">
        <f t="shared" ref="D5:O5" si="0">C5+1</f>
        <v>41325</v>
      </c>
      <c r="E5" s="12">
        <f t="shared" si="0"/>
        <v>41326</v>
      </c>
      <c r="F5" s="12">
        <f t="shared" si="0"/>
        <v>41327</v>
      </c>
      <c r="G5" s="12">
        <f t="shared" si="0"/>
        <v>41328</v>
      </c>
      <c r="H5" s="12">
        <f t="shared" si="0"/>
        <v>41329</v>
      </c>
      <c r="I5" s="12">
        <f t="shared" si="0"/>
        <v>41330</v>
      </c>
      <c r="J5" s="12">
        <f t="shared" si="0"/>
        <v>41331</v>
      </c>
      <c r="K5" s="12">
        <f t="shared" si="0"/>
        <v>41332</v>
      </c>
      <c r="L5" s="12">
        <f t="shared" si="0"/>
        <v>41333</v>
      </c>
      <c r="M5" s="12">
        <f t="shared" si="0"/>
        <v>41334</v>
      </c>
      <c r="N5" s="12">
        <f t="shared" si="0"/>
        <v>41335</v>
      </c>
      <c r="O5" s="12">
        <f t="shared" si="0"/>
        <v>41336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0.5</v>
      </c>
      <c r="C7" s="23">
        <v>0.75</v>
      </c>
      <c r="D7" s="23">
        <v>0.5</v>
      </c>
      <c r="E7" s="23">
        <v>0.25</v>
      </c>
      <c r="F7" s="23">
        <v>0.75</v>
      </c>
      <c r="G7" s="23">
        <v>2</v>
      </c>
      <c r="H7" s="23">
        <v>1.25</v>
      </c>
      <c r="I7" s="23">
        <v>1</v>
      </c>
      <c r="J7" s="23">
        <v>0.5</v>
      </c>
      <c r="K7" s="23"/>
      <c r="L7" s="23">
        <v>0.5</v>
      </c>
      <c r="M7" s="23">
        <v>0.5</v>
      </c>
      <c r="N7" s="23"/>
      <c r="O7" s="23"/>
      <c r="P7" s="24">
        <f t="shared" ref="P7:P20" si="1">SUM(B7:O7)</f>
        <v>8.5</v>
      </c>
    </row>
    <row r="8" spans="1:16" ht="20.25" customHeight="1" x14ac:dyDescent="0.25">
      <c r="A8" s="22" t="s">
        <v>29</v>
      </c>
      <c r="B8" s="23">
        <v>0.25</v>
      </c>
      <c r="C8" s="23"/>
      <c r="D8" s="23"/>
      <c r="E8" s="23"/>
      <c r="F8" s="23"/>
      <c r="G8" s="23"/>
      <c r="H8" s="23"/>
      <c r="I8" s="23"/>
      <c r="J8" s="23"/>
      <c r="K8" s="23"/>
      <c r="L8" s="23">
        <v>0.5</v>
      </c>
      <c r="M8" s="23"/>
      <c r="N8" s="23"/>
      <c r="O8" s="23"/>
      <c r="P8" s="24">
        <f t="shared" si="1"/>
        <v>0.75</v>
      </c>
    </row>
    <row r="9" spans="1:16" ht="20.25" customHeight="1" x14ac:dyDescent="0.25">
      <c r="A9" s="22" t="s">
        <v>26</v>
      </c>
      <c r="B9" s="23"/>
      <c r="C9" s="23">
        <v>0.75</v>
      </c>
      <c r="D9" s="23"/>
      <c r="E9" s="23"/>
      <c r="F9" s="23"/>
      <c r="G9" s="23"/>
      <c r="H9" s="23"/>
      <c r="I9" s="23"/>
      <c r="J9" s="23">
        <v>1</v>
      </c>
      <c r="K9" s="23"/>
      <c r="L9" s="23"/>
      <c r="M9" s="23"/>
      <c r="N9" s="23"/>
      <c r="O9" s="23"/>
      <c r="P9" s="24">
        <f t="shared" si="1"/>
        <v>1.75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>
        <v>3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3</v>
      </c>
    </row>
    <row r="11" spans="1:16" ht="20.25" customHeight="1" x14ac:dyDescent="0.25">
      <c r="A11" s="22" t="s">
        <v>27</v>
      </c>
      <c r="B11" s="23"/>
      <c r="C11" s="23"/>
      <c r="D11" s="23">
        <v>3</v>
      </c>
      <c r="E11" s="23"/>
      <c r="F11" s="23"/>
      <c r="G11" s="23"/>
      <c r="H11" s="23"/>
      <c r="I11" s="23"/>
      <c r="J11" s="23"/>
      <c r="K11" s="23"/>
      <c r="L11" s="23">
        <v>1</v>
      </c>
      <c r="M11" s="23"/>
      <c r="N11" s="23"/>
      <c r="O11" s="23"/>
      <c r="P11" s="24">
        <f t="shared" si="1"/>
        <v>4</v>
      </c>
    </row>
    <row r="12" spans="1:16" ht="20.25" customHeight="1" x14ac:dyDescent="0.25">
      <c r="A12" s="22" t="s">
        <v>20</v>
      </c>
      <c r="B12" s="23"/>
      <c r="C12" s="23">
        <v>0.5</v>
      </c>
      <c r="D12" s="23"/>
      <c r="E12" s="23"/>
      <c r="F12" s="23"/>
      <c r="G12" s="23"/>
      <c r="H12" s="23"/>
      <c r="I12" s="23">
        <v>1</v>
      </c>
      <c r="J12" s="23">
        <v>0.5</v>
      </c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>
        <v>0.25</v>
      </c>
      <c r="K13" s="23">
        <v>4</v>
      </c>
      <c r="L13" s="23"/>
      <c r="M13" s="23"/>
      <c r="N13" s="23"/>
      <c r="O13" s="23"/>
      <c r="P13" s="24">
        <f t="shared" si="1"/>
        <v>4.25</v>
      </c>
    </row>
    <row r="14" spans="1:16" ht="20.25" customHeight="1" x14ac:dyDescent="0.25">
      <c r="A14" s="22" t="s">
        <v>54</v>
      </c>
      <c r="B14" s="23">
        <v>5</v>
      </c>
      <c r="C14" s="23">
        <v>6</v>
      </c>
      <c r="D14" s="23">
        <v>4.75</v>
      </c>
      <c r="E14" s="23">
        <v>4.75</v>
      </c>
      <c r="F14" s="23">
        <v>0.75</v>
      </c>
      <c r="G14" s="23"/>
      <c r="H14" s="23"/>
      <c r="I14" s="23">
        <v>5</v>
      </c>
      <c r="J14" s="23">
        <v>4</v>
      </c>
      <c r="K14" s="23"/>
      <c r="L14" s="23">
        <v>3.75</v>
      </c>
      <c r="M14" s="23">
        <v>5.5</v>
      </c>
      <c r="N14" s="23"/>
      <c r="O14" s="23"/>
      <c r="P14" s="24">
        <f t="shared" si="1"/>
        <v>39.5</v>
      </c>
    </row>
    <row r="15" spans="1:16" ht="20.25" customHeight="1" x14ac:dyDescent="0.25">
      <c r="A15" s="22" t="s">
        <v>43</v>
      </c>
      <c r="B15" s="23">
        <v>1.75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1.75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>
        <v>1.5</v>
      </c>
      <c r="J16" s="23"/>
      <c r="K16" s="23"/>
      <c r="L16" s="23">
        <v>0.5</v>
      </c>
      <c r="M16" s="23"/>
      <c r="N16" s="23"/>
      <c r="O16" s="23"/>
      <c r="P16" s="24">
        <f t="shared" si="1"/>
        <v>2</v>
      </c>
    </row>
    <row r="17" spans="1:20" ht="20.25" customHeight="1" x14ac:dyDescent="0.25">
      <c r="A17" s="22" t="s">
        <v>22</v>
      </c>
      <c r="B17" s="23"/>
      <c r="C17" s="23"/>
      <c r="D17" s="23"/>
      <c r="E17" s="23"/>
      <c r="F17" s="23">
        <v>3</v>
      </c>
      <c r="G17" s="23">
        <v>8.75</v>
      </c>
      <c r="H17" s="23">
        <v>8</v>
      </c>
      <c r="I17" s="23"/>
      <c r="J17" s="23"/>
      <c r="K17" s="23"/>
      <c r="L17" s="23"/>
      <c r="M17" s="23"/>
      <c r="N17" s="23"/>
      <c r="O17" s="23"/>
      <c r="P17" s="24">
        <f t="shared" si="1"/>
        <v>19.75</v>
      </c>
    </row>
    <row r="18" spans="1:20" ht="20.25" customHeight="1" x14ac:dyDescent="0.25">
      <c r="A18" s="22" t="s">
        <v>23</v>
      </c>
      <c r="B18" s="23"/>
      <c r="C18" s="23">
        <v>1.5</v>
      </c>
      <c r="D18" s="23"/>
      <c r="E18" s="23"/>
      <c r="F18" s="23"/>
      <c r="G18" s="23"/>
      <c r="H18" s="23"/>
      <c r="I18" s="23">
        <v>3</v>
      </c>
      <c r="J18" s="23"/>
      <c r="K18" s="23"/>
      <c r="L18" s="23">
        <v>0.5</v>
      </c>
      <c r="M18" s="23"/>
      <c r="N18" s="23">
        <v>3</v>
      </c>
      <c r="O18" s="23"/>
      <c r="P18" s="24">
        <f t="shared" si="1"/>
        <v>8</v>
      </c>
    </row>
    <row r="19" spans="1:20" ht="20.25" customHeight="1" x14ac:dyDescent="0.25">
      <c r="A19" s="22" t="s">
        <v>55</v>
      </c>
      <c r="B19" s="23">
        <v>0.5</v>
      </c>
      <c r="C19" s="23"/>
      <c r="D19" s="23">
        <v>0.25</v>
      </c>
      <c r="E19" s="23"/>
      <c r="F19" s="23"/>
      <c r="G19" s="23"/>
      <c r="H19" s="23"/>
      <c r="I19" s="23"/>
      <c r="J19" s="23">
        <v>0.5</v>
      </c>
      <c r="K19" s="23">
        <v>1.5</v>
      </c>
      <c r="L19" s="23">
        <v>0.25</v>
      </c>
      <c r="M19" s="23"/>
      <c r="N19" s="23"/>
      <c r="O19" s="23"/>
      <c r="P19" s="24">
        <f t="shared" si="1"/>
        <v>3</v>
      </c>
    </row>
    <row r="20" spans="1:20" ht="20.25" customHeight="1" x14ac:dyDescent="0.25">
      <c r="A20" s="22" t="s">
        <v>18</v>
      </c>
      <c r="B20" s="23"/>
      <c r="C20" s="23">
        <v>1</v>
      </c>
      <c r="D20" s="23"/>
      <c r="E20" s="23">
        <v>0.25</v>
      </c>
      <c r="F20" s="23">
        <v>0.25</v>
      </c>
      <c r="G20" s="23"/>
      <c r="H20" s="23"/>
      <c r="I20" s="23">
        <v>1</v>
      </c>
      <c r="J20" s="23"/>
      <c r="K20" s="23"/>
      <c r="L20" s="23"/>
      <c r="M20" s="23"/>
      <c r="N20" s="23"/>
      <c r="O20" s="23"/>
      <c r="P20" s="24">
        <f t="shared" si="1"/>
        <v>2.5</v>
      </c>
    </row>
    <row r="21" spans="1:20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10.5</v>
      </c>
      <c r="D21" s="14">
        <f t="shared" si="2"/>
        <v>8.5</v>
      </c>
      <c r="E21" s="14">
        <f t="shared" si="2"/>
        <v>5.25</v>
      </c>
      <c r="F21" s="14">
        <f t="shared" si="2"/>
        <v>7.75</v>
      </c>
      <c r="G21" s="14">
        <f t="shared" si="2"/>
        <v>10.75</v>
      </c>
      <c r="H21" s="14">
        <f t="shared" si="2"/>
        <v>9.25</v>
      </c>
      <c r="I21" s="14">
        <f t="shared" si="2"/>
        <v>12.5</v>
      </c>
      <c r="J21" s="14">
        <f t="shared" si="2"/>
        <v>6.75</v>
      </c>
      <c r="K21" s="14">
        <f t="shared" si="2"/>
        <v>5.5</v>
      </c>
      <c r="L21" s="14">
        <f t="shared" si="2"/>
        <v>7</v>
      </c>
      <c r="M21" s="14">
        <f t="shared" si="2"/>
        <v>6</v>
      </c>
      <c r="N21" s="14">
        <f t="shared" si="2"/>
        <v>3</v>
      </c>
      <c r="O21" s="14">
        <f t="shared" si="2"/>
        <v>0</v>
      </c>
      <c r="P21" s="14">
        <f t="shared" si="2"/>
        <v>100.75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60</v>
      </c>
      <c r="I22"/>
      <c r="J22"/>
      <c r="K22"/>
      <c r="L22"/>
      <c r="M22"/>
      <c r="N22" s="22" t="s">
        <v>58</v>
      </c>
      <c r="O22" s="14">
        <f>SUM(I21:O21)</f>
        <v>40.75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73" priority="6" operator="greaterThan">
      <formula>8</formula>
    </cfRule>
    <cfRule type="cellIs" dxfId="72" priority="119" operator="equal">
      <formula>8</formula>
    </cfRule>
  </conditionalFormatting>
  <conditionalFormatting sqref="P7:P20">
    <cfRule type="cellIs" dxfId="71" priority="5" operator="greaterThan">
      <formula>80</formula>
    </cfRule>
  </conditionalFormatting>
  <conditionalFormatting sqref="P21">
    <cfRule type="cellIs" dxfId="70" priority="4" operator="greaterThan">
      <formula>80</formula>
    </cfRule>
    <cfRule type="cellIs" dxfId="69" priority="120" operator="equal">
      <formula>80</formula>
    </cfRule>
  </conditionalFormatting>
  <conditionalFormatting sqref="H22">
    <cfRule type="cellIs" dxfId="68" priority="3" operator="greaterThan">
      <formula>40</formula>
    </cfRule>
    <cfRule type="cellIs" dxfId="67" priority="121" operator="equal">
      <formula>40</formula>
    </cfRule>
  </conditionalFormatting>
  <conditionalFormatting sqref="O22">
    <cfRule type="cellIs" dxfId="66" priority="2" operator="greaterThan">
      <formula>40</formula>
    </cfRule>
    <cfRule type="cellIs" dxfId="65" priority="122" operator="equal">
      <formula>40</formula>
    </cfRule>
  </conditionalFormatting>
  <conditionalFormatting sqref="G21:H21 N21:O21">
    <cfRule type="cellIs" dxfId="6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222"/>
  <sheetViews>
    <sheetView workbookViewId="0">
      <selection activeCell="T17" sqref="T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0.25</v>
      </c>
      <c r="D7" s="23">
        <v>0.25</v>
      </c>
      <c r="E7" s="23">
        <v>0.5</v>
      </c>
      <c r="F7" s="23">
        <v>1.75</v>
      </c>
      <c r="G7" s="23"/>
      <c r="H7" s="23"/>
      <c r="I7" s="23"/>
      <c r="J7" s="23"/>
      <c r="K7" s="23"/>
      <c r="L7" s="23">
        <v>3.25</v>
      </c>
      <c r="M7" s="23">
        <v>0.5</v>
      </c>
      <c r="N7" s="23"/>
      <c r="O7" s="23"/>
      <c r="P7" s="24">
        <f t="shared" ref="P7:P21" si="1">SUM(B7:O7)</f>
        <v>8</v>
      </c>
    </row>
    <row r="8" spans="1:16" ht="20.25" customHeight="1" x14ac:dyDescent="0.25">
      <c r="A8" s="22" t="s">
        <v>29</v>
      </c>
      <c r="B8" s="23"/>
      <c r="C8" s="23"/>
      <c r="D8" s="23">
        <v>0.5</v>
      </c>
      <c r="E8" s="23">
        <v>0.25</v>
      </c>
      <c r="F8" s="23"/>
      <c r="G8" s="23"/>
      <c r="H8" s="23"/>
      <c r="I8" s="23"/>
      <c r="J8" s="23"/>
      <c r="K8" s="23"/>
      <c r="L8" s="23">
        <v>0.25</v>
      </c>
      <c r="M8" s="23"/>
      <c r="N8" s="23"/>
      <c r="O8" s="23"/>
      <c r="P8" s="24">
        <f t="shared" si="1"/>
        <v>1</v>
      </c>
    </row>
    <row r="9" spans="1:16" ht="20.25" customHeight="1" x14ac:dyDescent="0.25">
      <c r="A9" s="22" t="s">
        <v>26</v>
      </c>
      <c r="B9" s="23"/>
      <c r="C9" s="23"/>
      <c r="D9" s="23">
        <v>0.5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27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>
        <v>1</v>
      </c>
      <c r="M10" s="23"/>
      <c r="N10" s="23"/>
      <c r="O10" s="23"/>
      <c r="P10" s="24">
        <f t="shared" si="1"/>
        <v>1</v>
      </c>
    </row>
    <row r="11" spans="1:16" ht="20.25" customHeight="1" x14ac:dyDescent="0.25">
      <c r="A11" s="22" t="s">
        <v>53</v>
      </c>
      <c r="B11" s="23"/>
      <c r="C11" s="23"/>
      <c r="D11" s="23">
        <v>0.25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0.25</v>
      </c>
    </row>
    <row r="12" spans="1:16" ht="20.25" customHeight="1" x14ac:dyDescent="0.25">
      <c r="A12" s="22" t="s">
        <v>20</v>
      </c>
      <c r="B12" s="23"/>
      <c r="C12" s="23">
        <v>1</v>
      </c>
      <c r="D12" s="23">
        <v>0.75</v>
      </c>
      <c r="E12" s="23"/>
      <c r="F12" s="23">
        <v>1</v>
      </c>
      <c r="G12" s="23"/>
      <c r="H12" s="23"/>
      <c r="I12" s="23"/>
      <c r="J12" s="23"/>
      <c r="K12" s="23"/>
      <c r="L12" s="23">
        <v>1.5</v>
      </c>
      <c r="M12" s="23"/>
      <c r="N12" s="23"/>
      <c r="O12" s="23"/>
      <c r="P12" s="24">
        <f t="shared" si="1"/>
        <v>4.25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>
        <v>3.25</v>
      </c>
      <c r="N13" s="23"/>
      <c r="O13" s="23"/>
      <c r="P13" s="24">
        <f t="shared" si="1"/>
        <v>3.25</v>
      </c>
    </row>
    <row r="14" spans="1:16" ht="20.25" customHeight="1" x14ac:dyDescent="0.25">
      <c r="A14" s="22" t="s">
        <v>54</v>
      </c>
      <c r="B14" s="23">
        <v>6.75</v>
      </c>
      <c r="C14" s="23">
        <v>2.5</v>
      </c>
      <c r="D14" s="23">
        <v>5.25</v>
      </c>
      <c r="E14" s="23">
        <v>7.25</v>
      </c>
      <c r="F14" s="23">
        <v>2</v>
      </c>
      <c r="G14" s="23"/>
      <c r="H14" s="23"/>
      <c r="I14" s="23"/>
      <c r="J14" s="23"/>
      <c r="K14" s="23"/>
      <c r="L14" s="23"/>
      <c r="M14" s="23">
        <v>1.75</v>
      </c>
      <c r="N14" s="23"/>
      <c r="O14" s="23"/>
      <c r="P14" s="24">
        <f t="shared" si="1"/>
        <v>25.5</v>
      </c>
    </row>
    <row r="15" spans="1:16" ht="20.25" customHeight="1" x14ac:dyDescent="0.25">
      <c r="A15" s="22" t="s">
        <v>43</v>
      </c>
      <c r="B15" s="23"/>
      <c r="C15" s="23">
        <v>1.25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1.25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>
        <v>0.25</v>
      </c>
      <c r="M16" s="23"/>
      <c r="N16" s="23"/>
      <c r="O16" s="23"/>
      <c r="P16" s="24">
        <f t="shared" si="1"/>
        <v>0.25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/>
      <c r="G17" s="23"/>
      <c r="H17" s="23"/>
      <c r="I17" s="23">
        <v>8</v>
      </c>
      <c r="J17" s="23">
        <v>8</v>
      </c>
      <c r="K17" s="23">
        <v>8</v>
      </c>
      <c r="L17" s="23"/>
      <c r="M17" s="23"/>
      <c r="N17" s="23"/>
      <c r="O17" s="23"/>
      <c r="P17" s="24">
        <f t="shared" si="1"/>
        <v>24</v>
      </c>
    </row>
    <row r="18" spans="1:20" ht="20.25" customHeight="1" x14ac:dyDescent="0.25">
      <c r="A18" s="22" t="s">
        <v>22</v>
      </c>
      <c r="B18" s="23"/>
      <c r="C18" s="23">
        <v>0.5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0.5</v>
      </c>
    </row>
    <row r="19" spans="1:20" ht="20.25" customHeight="1" x14ac:dyDescent="0.25">
      <c r="A19" s="22" t="s">
        <v>23</v>
      </c>
      <c r="B19" s="23"/>
      <c r="C19" s="23"/>
      <c r="D19" s="23"/>
      <c r="E19" s="23">
        <v>2.5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55</v>
      </c>
      <c r="B20" s="23"/>
      <c r="C20" s="23">
        <v>0.25</v>
      </c>
      <c r="D20" s="23"/>
      <c r="E20" s="23"/>
      <c r="F20" s="23"/>
      <c r="G20" s="23"/>
      <c r="H20" s="23"/>
      <c r="I20" s="23"/>
      <c r="J20" s="23"/>
      <c r="K20" s="23"/>
      <c r="L20" s="23"/>
      <c r="M20" s="23">
        <v>2.75</v>
      </c>
      <c r="N20" s="23"/>
      <c r="O20" s="23"/>
      <c r="P20" s="24">
        <f t="shared" si="1"/>
        <v>3</v>
      </c>
    </row>
    <row r="21" spans="1:20" ht="20.25" customHeight="1" x14ac:dyDescent="0.25">
      <c r="A21" s="22" t="s">
        <v>18</v>
      </c>
      <c r="B21" s="23"/>
      <c r="C21" s="23"/>
      <c r="D21" s="23">
        <v>1.5</v>
      </c>
      <c r="E21" s="23">
        <v>1.25</v>
      </c>
      <c r="F21" s="23">
        <v>0.5</v>
      </c>
      <c r="G21" s="23"/>
      <c r="H21" s="23"/>
      <c r="I21" s="23"/>
      <c r="J21" s="23"/>
      <c r="K21" s="23"/>
      <c r="L21" s="23">
        <v>1.5</v>
      </c>
      <c r="M21" s="23"/>
      <c r="N21" s="23"/>
      <c r="O21" s="23"/>
      <c r="P21" s="24">
        <f t="shared" si="1"/>
        <v>4.75</v>
      </c>
    </row>
    <row r="22" spans="1:20" ht="20.25" customHeight="1" x14ac:dyDescent="0.2">
      <c r="A22" s="15" t="s">
        <v>39</v>
      </c>
      <c r="B22" s="14">
        <f t="shared" ref="B22:P22" si="2">SUM(B7:B21)</f>
        <v>8.25</v>
      </c>
      <c r="C22" s="14">
        <f t="shared" si="2"/>
        <v>5.75</v>
      </c>
      <c r="D22" s="14">
        <f t="shared" si="2"/>
        <v>9</v>
      </c>
      <c r="E22" s="14">
        <f t="shared" si="2"/>
        <v>11.75</v>
      </c>
      <c r="F22" s="14">
        <f t="shared" si="2"/>
        <v>5.25</v>
      </c>
      <c r="G22" s="14">
        <f t="shared" si="2"/>
        <v>0</v>
      </c>
      <c r="H22" s="14">
        <f t="shared" si="2"/>
        <v>0</v>
      </c>
      <c r="I22" s="14">
        <f t="shared" si="2"/>
        <v>8</v>
      </c>
      <c r="J22" s="14">
        <f t="shared" si="2"/>
        <v>8</v>
      </c>
      <c r="K22" s="14">
        <f t="shared" si="2"/>
        <v>8</v>
      </c>
      <c r="L22" s="14">
        <f t="shared" si="2"/>
        <v>7.75</v>
      </c>
      <c r="M22" s="14">
        <f t="shared" si="2"/>
        <v>8.25</v>
      </c>
      <c r="N22" s="14">
        <f t="shared" si="2"/>
        <v>0</v>
      </c>
      <c r="O22" s="14">
        <f t="shared" si="2"/>
        <v>0</v>
      </c>
      <c r="P22" s="14">
        <f t="shared" si="2"/>
        <v>80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40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63" priority="6" operator="greaterThan">
      <formula>8</formula>
    </cfRule>
    <cfRule type="cellIs" dxfId="62" priority="135" operator="equal">
      <formula>8</formula>
    </cfRule>
  </conditionalFormatting>
  <conditionalFormatting sqref="P7:P21">
    <cfRule type="cellIs" dxfId="61" priority="5" operator="greaterThan">
      <formula>80</formula>
    </cfRule>
  </conditionalFormatting>
  <conditionalFormatting sqref="P22">
    <cfRule type="cellIs" dxfId="60" priority="4" operator="greaterThan">
      <formula>80</formula>
    </cfRule>
    <cfRule type="cellIs" dxfId="59" priority="136" operator="equal">
      <formula>80</formula>
    </cfRule>
  </conditionalFormatting>
  <conditionalFormatting sqref="H23">
    <cfRule type="cellIs" dxfId="58" priority="3" operator="greaterThan">
      <formula>40</formula>
    </cfRule>
    <cfRule type="cellIs" dxfId="57" priority="137" operator="equal">
      <formula>40</formula>
    </cfRule>
  </conditionalFormatting>
  <conditionalFormatting sqref="O23">
    <cfRule type="cellIs" dxfId="56" priority="2" operator="greaterThan">
      <formula>40</formula>
    </cfRule>
    <cfRule type="cellIs" dxfId="55" priority="138" operator="equal">
      <formula>40</formula>
    </cfRule>
  </conditionalFormatting>
  <conditionalFormatting sqref="G22:H22 N22:O22">
    <cfRule type="cellIs" dxfId="5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52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529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T221"/>
  <sheetViews>
    <sheetView workbookViewId="0">
      <selection activeCell="T13" sqref="T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INDEX(Refs!D:D,MATCH('FY13-03'!B1 &amp; 'FY13-03'!B2,Refs!K:K,0))</f>
        <v>41295</v>
      </c>
      <c r="C5" s="12">
        <f>B5+1</f>
        <v>41296</v>
      </c>
      <c r="D5" s="12">
        <f t="shared" ref="D5:O5" si="0">C5+1</f>
        <v>41297</v>
      </c>
      <c r="E5" s="12">
        <f t="shared" si="0"/>
        <v>41298</v>
      </c>
      <c r="F5" s="12">
        <f t="shared" si="0"/>
        <v>41299</v>
      </c>
      <c r="G5" s="12">
        <f t="shared" si="0"/>
        <v>41300</v>
      </c>
      <c r="H5" s="12">
        <f t="shared" si="0"/>
        <v>41301</v>
      </c>
      <c r="I5" s="12">
        <f t="shared" si="0"/>
        <v>41302</v>
      </c>
      <c r="J5" s="12">
        <f t="shared" si="0"/>
        <v>41303</v>
      </c>
      <c r="K5" s="12">
        <f t="shared" si="0"/>
        <v>41304</v>
      </c>
      <c r="L5" s="12">
        <f t="shared" si="0"/>
        <v>41305</v>
      </c>
      <c r="M5" s="12">
        <f t="shared" si="0"/>
        <v>41306</v>
      </c>
      <c r="N5" s="12">
        <f t="shared" si="0"/>
        <v>41307</v>
      </c>
      <c r="O5" s="12">
        <f t="shared" si="0"/>
        <v>41308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>
        <v>0.5</v>
      </c>
      <c r="D7" s="23"/>
      <c r="E7" s="23">
        <v>1.5</v>
      </c>
      <c r="F7" s="23">
        <v>1</v>
      </c>
      <c r="G7" s="23"/>
      <c r="H7" s="23"/>
      <c r="I7" s="23">
        <v>0.75</v>
      </c>
      <c r="J7" s="23"/>
      <c r="K7" s="23">
        <v>1</v>
      </c>
      <c r="L7" s="23">
        <v>0.5</v>
      </c>
      <c r="M7" s="23">
        <v>0.75</v>
      </c>
      <c r="N7" s="23"/>
      <c r="O7" s="23"/>
      <c r="P7" s="24">
        <f t="shared" ref="P7:P20" si="1">SUM(B7:O7)</f>
        <v>6</v>
      </c>
    </row>
    <row r="8" spans="1:16" ht="20.25" customHeight="1" x14ac:dyDescent="0.25">
      <c r="A8" s="22" t="s">
        <v>29</v>
      </c>
      <c r="B8" s="23"/>
      <c r="C8" s="23"/>
      <c r="D8" s="23"/>
      <c r="E8" s="23"/>
      <c r="F8" s="23">
        <v>0.75</v>
      </c>
      <c r="G8" s="23"/>
      <c r="H8" s="23"/>
      <c r="I8" s="23"/>
      <c r="J8" s="23"/>
      <c r="K8" s="23"/>
      <c r="L8" s="23">
        <v>1</v>
      </c>
      <c r="M8" s="23"/>
      <c r="N8" s="23"/>
      <c r="O8" s="23"/>
      <c r="P8" s="24">
        <f t="shared" si="1"/>
        <v>1.75</v>
      </c>
    </row>
    <row r="9" spans="1:16" ht="20.25" customHeight="1" x14ac:dyDescent="0.25">
      <c r="A9" s="22" t="s">
        <v>26</v>
      </c>
      <c r="B9" s="23"/>
      <c r="C9" s="23"/>
      <c r="D9" s="23">
        <v>3.75</v>
      </c>
      <c r="E9" s="23"/>
      <c r="F9" s="23"/>
      <c r="G9" s="23"/>
      <c r="H9" s="23"/>
      <c r="I9" s="23">
        <v>1.25</v>
      </c>
      <c r="J9" s="23">
        <v>1.25</v>
      </c>
      <c r="K9" s="23"/>
      <c r="L9" s="23"/>
      <c r="M9" s="23"/>
      <c r="N9" s="23"/>
      <c r="O9" s="23"/>
      <c r="P9" s="24">
        <f t="shared" si="1"/>
        <v>6.25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>
        <v>0.5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0.5</v>
      </c>
    </row>
    <row r="11" spans="1:16" ht="20.25" customHeight="1" x14ac:dyDescent="0.25">
      <c r="A11" s="22" t="s">
        <v>27</v>
      </c>
      <c r="B11" s="23"/>
      <c r="C11" s="23"/>
      <c r="D11" s="23"/>
      <c r="E11" s="23"/>
      <c r="F11" s="23"/>
      <c r="G11" s="23"/>
      <c r="H11" s="23"/>
      <c r="I11" s="23"/>
      <c r="J11" s="23">
        <v>0.75</v>
      </c>
      <c r="K11" s="23"/>
      <c r="L11" s="23"/>
      <c r="M11" s="23"/>
      <c r="N11" s="23"/>
      <c r="O11" s="23"/>
      <c r="P11" s="24">
        <f t="shared" si="1"/>
        <v>0.75</v>
      </c>
    </row>
    <row r="12" spans="1:16" ht="20.25" customHeight="1" x14ac:dyDescent="0.25">
      <c r="A12" s="22" t="s">
        <v>20</v>
      </c>
      <c r="B12" s="23"/>
      <c r="C12" s="23">
        <v>2.75</v>
      </c>
      <c r="D12" s="23"/>
      <c r="E12" s="23"/>
      <c r="F12" s="23"/>
      <c r="G12" s="23"/>
      <c r="H12" s="23"/>
      <c r="I12" s="23"/>
      <c r="J12" s="23">
        <v>0.75</v>
      </c>
      <c r="K12" s="23"/>
      <c r="L12" s="23"/>
      <c r="M12" s="23"/>
      <c r="N12" s="23"/>
      <c r="O12" s="23"/>
      <c r="P12" s="24">
        <f t="shared" si="1"/>
        <v>3.5</v>
      </c>
    </row>
    <row r="13" spans="1:16" ht="20.25" customHeight="1" x14ac:dyDescent="0.25">
      <c r="A13" s="22" t="s">
        <v>21</v>
      </c>
      <c r="B13" s="23"/>
      <c r="C13" s="23"/>
      <c r="D13" s="23">
        <v>1.75</v>
      </c>
      <c r="E13" s="23">
        <v>1.5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3.25</v>
      </c>
    </row>
    <row r="14" spans="1:16" ht="20.25" customHeight="1" x14ac:dyDescent="0.25">
      <c r="A14" s="22" t="s">
        <v>54</v>
      </c>
      <c r="B14" s="23"/>
      <c r="C14" s="23">
        <v>4.5</v>
      </c>
      <c r="D14" s="23"/>
      <c r="E14" s="23">
        <v>3</v>
      </c>
      <c r="F14" s="23">
        <v>4.5</v>
      </c>
      <c r="G14" s="23"/>
      <c r="H14" s="23"/>
      <c r="I14" s="23">
        <v>6</v>
      </c>
      <c r="J14" s="23">
        <v>2.5</v>
      </c>
      <c r="K14" s="23">
        <v>6.5</v>
      </c>
      <c r="L14" s="23">
        <v>7.25</v>
      </c>
      <c r="M14" s="23">
        <v>4</v>
      </c>
      <c r="N14" s="23"/>
      <c r="O14" s="23"/>
      <c r="P14" s="24">
        <f t="shared" si="1"/>
        <v>38.25</v>
      </c>
    </row>
    <row r="15" spans="1:16" ht="20.25" customHeight="1" x14ac:dyDescent="0.25">
      <c r="A15" s="22" t="s">
        <v>30</v>
      </c>
      <c r="B15" s="23"/>
      <c r="C15" s="23">
        <v>0.5</v>
      </c>
      <c r="D15" s="23"/>
      <c r="E15" s="23">
        <v>1.75</v>
      </c>
      <c r="F15" s="23"/>
      <c r="G15" s="23"/>
      <c r="H15" s="23"/>
      <c r="I15" s="23"/>
      <c r="J15" s="23"/>
      <c r="K15" s="23"/>
      <c r="L15" s="23">
        <v>0.5</v>
      </c>
      <c r="M15" s="23"/>
      <c r="N15" s="23"/>
      <c r="O15" s="23"/>
      <c r="P15" s="24">
        <f t="shared" si="1"/>
        <v>2.75</v>
      </c>
    </row>
    <row r="16" spans="1:16" ht="20.25" customHeight="1" x14ac:dyDescent="0.25">
      <c r="A16" s="22" t="s">
        <v>28</v>
      </c>
      <c r="B16" s="23">
        <v>8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8</v>
      </c>
    </row>
    <row r="17" spans="1:20" ht="20.25" customHeight="1" x14ac:dyDescent="0.25">
      <c r="A17" s="22" t="s">
        <v>22</v>
      </c>
      <c r="B17" s="23"/>
      <c r="C17" s="23"/>
      <c r="D17" s="23"/>
      <c r="E17" s="23">
        <v>0.75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0.75</v>
      </c>
    </row>
    <row r="18" spans="1:20" ht="20.25" customHeight="1" x14ac:dyDescent="0.25">
      <c r="A18" s="22" t="s">
        <v>23</v>
      </c>
      <c r="B18" s="23"/>
      <c r="C18" s="23"/>
      <c r="D18" s="23"/>
      <c r="E18" s="23"/>
      <c r="F18" s="23"/>
      <c r="G18" s="23"/>
      <c r="H18" s="23"/>
      <c r="I18" s="23"/>
      <c r="J18" s="23">
        <v>3.5</v>
      </c>
      <c r="K18" s="23"/>
      <c r="L18" s="23"/>
      <c r="M18" s="23"/>
      <c r="N18" s="23"/>
      <c r="O18" s="23"/>
      <c r="P18" s="24">
        <f t="shared" si="1"/>
        <v>3.5</v>
      </c>
    </row>
    <row r="19" spans="1:20" ht="20.25" customHeight="1" x14ac:dyDescent="0.25">
      <c r="A19" s="22" t="s">
        <v>55</v>
      </c>
      <c r="B19" s="23"/>
      <c r="C19" s="23"/>
      <c r="D19" s="23">
        <v>1.5</v>
      </c>
      <c r="E19" s="23">
        <v>0.25</v>
      </c>
      <c r="F19" s="23"/>
      <c r="G19" s="23"/>
      <c r="H19" s="23"/>
      <c r="I19" s="23"/>
      <c r="J19" s="23">
        <v>1.25</v>
      </c>
      <c r="K19" s="23"/>
      <c r="L19" s="23"/>
      <c r="M19" s="23"/>
      <c r="N19" s="23"/>
      <c r="O19" s="23"/>
      <c r="P19" s="24">
        <f t="shared" si="1"/>
        <v>3</v>
      </c>
    </row>
    <row r="20" spans="1:20" ht="20.25" customHeight="1" x14ac:dyDescent="0.25">
      <c r="A20" s="22" t="s">
        <v>18</v>
      </c>
      <c r="B20" s="23"/>
      <c r="C20" s="23">
        <v>0.25</v>
      </c>
      <c r="D20" s="23"/>
      <c r="E20" s="23"/>
      <c r="F20" s="23">
        <v>1</v>
      </c>
      <c r="G20" s="23"/>
      <c r="H20" s="23"/>
      <c r="I20" s="23"/>
      <c r="J20" s="23">
        <v>0.5</v>
      </c>
      <c r="K20" s="23"/>
      <c r="L20" s="23"/>
      <c r="M20" s="23"/>
      <c r="N20" s="23"/>
      <c r="O20" s="23"/>
      <c r="P20" s="24">
        <f t="shared" si="1"/>
        <v>1.75</v>
      </c>
    </row>
    <row r="21" spans="1:20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8.5</v>
      </c>
      <c r="D21" s="14">
        <f t="shared" si="2"/>
        <v>7</v>
      </c>
      <c r="E21" s="14">
        <f t="shared" si="2"/>
        <v>8.75</v>
      </c>
      <c r="F21" s="14">
        <f t="shared" si="2"/>
        <v>7.75</v>
      </c>
      <c r="G21" s="14">
        <f t="shared" si="2"/>
        <v>0</v>
      </c>
      <c r="H21" s="14">
        <f t="shared" si="2"/>
        <v>0</v>
      </c>
      <c r="I21" s="14">
        <f t="shared" si="2"/>
        <v>8</v>
      </c>
      <c r="J21" s="14">
        <f t="shared" si="2"/>
        <v>10.5</v>
      </c>
      <c r="K21" s="14">
        <f t="shared" si="2"/>
        <v>7.5</v>
      </c>
      <c r="L21" s="14">
        <f t="shared" si="2"/>
        <v>9.25</v>
      </c>
      <c r="M21" s="14">
        <f t="shared" si="2"/>
        <v>4.75</v>
      </c>
      <c r="N21" s="14">
        <f t="shared" si="2"/>
        <v>0</v>
      </c>
      <c r="O21" s="14">
        <f t="shared" si="2"/>
        <v>0</v>
      </c>
      <c r="P21" s="14">
        <f t="shared" si="2"/>
        <v>80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40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53" priority="6" operator="greaterThan">
      <formula>8</formula>
    </cfRule>
    <cfRule type="cellIs" dxfId="52" priority="135" operator="equal">
      <formula>8</formula>
    </cfRule>
  </conditionalFormatting>
  <conditionalFormatting sqref="P7:P20">
    <cfRule type="cellIs" dxfId="51" priority="5" operator="greaterThan">
      <formula>80</formula>
    </cfRule>
  </conditionalFormatting>
  <conditionalFormatting sqref="P21">
    <cfRule type="cellIs" dxfId="50" priority="4" operator="greaterThan">
      <formula>80</formula>
    </cfRule>
    <cfRule type="cellIs" dxfId="49" priority="136" operator="equal">
      <formula>80</formula>
    </cfRule>
  </conditionalFormatting>
  <conditionalFormatting sqref="H22">
    <cfRule type="cellIs" dxfId="48" priority="3" operator="greaterThan">
      <formula>40</formula>
    </cfRule>
    <cfRule type="cellIs" dxfId="47" priority="137" operator="equal">
      <formula>40</formula>
    </cfRule>
  </conditionalFormatting>
  <conditionalFormatting sqref="O22">
    <cfRule type="cellIs" dxfId="46" priority="2" operator="greaterThan">
      <formula>40</formula>
    </cfRule>
    <cfRule type="cellIs" dxfId="45" priority="138" operator="equal">
      <formula>40</formula>
    </cfRule>
  </conditionalFormatting>
  <conditionalFormatting sqref="G21:H21 N21:O21">
    <cfRule type="cellIs" dxfId="4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30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3009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220"/>
  <sheetViews>
    <sheetView topLeftCell="A4" workbookViewId="0">
      <selection activeCell="L23" sqref="L2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INDEX(Refs!D:D,MATCH('FY13-02'!B1 &amp; 'FY13-02'!B2,Refs!K:K,0))</f>
        <v>41281</v>
      </c>
      <c r="C5" s="12">
        <f>B5+1</f>
        <v>41282</v>
      </c>
      <c r="D5" s="12">
        <f t="shared" ref="D5:O5" si="0">C5+1</f>
        <v>41283</v>
      </c>
      <c r="E5" s="12">
        <f t="shared" si="0"/>
        <v>41284</v>
      </c>
      <c r="F5" s="12">
        <f t="shared" si="0"/>
        <v>41285</v>
      </c>
      <c r="G5" s="12">
        <f t="shared" si="0"/>
        <v>41286</v>
      </c>
      <c r="H5" s="12">
        <f t="shared" si="0"/>
        <v>41287</v>
      </c>
      <c r="I5" s="12">
        <f t="shared" si="0"/>
        <v>41288</v>
      </c>
      <c r="J5" s="12">
        <f t="shared" si="0"/>
        <v>41289</v>
      </c>
      <c r="K5" s="12">
        <f t="shared" si="0"/>
        <v>41290</v>
      </c>
      <c r="L5" s="12">
        <f t="shared" si="0"/>
        <v>41291</v>
      </c>
      <c r="M5" s="12">
        <f t="shared" si="0"/>
        <v>41292</v>
      </c>
      <c r="N5" s="12">
        <f t="shared" si="0"/>
        <v>41293</v>
      </c>
      <c r="O5" s="12">
        <f t="shared" si="0"/>
        <v>41294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1.25</v>
      </c>
      <c r="D7" s="23"/>
      <c r="E7" s="23">
        <v>2.25</v>
      </c>
      <c r="F7" s="23">
        <v>0.5</v>
      </c>
      <c r="G7" s="23"/>
      <c r="H7" s="23"/>
      <c r="I7" s="23">
        <v>0.5</v>
      </c>
      <c r="J7" s="23">
        <v>1.5</v>
      </c>
      <c r="K7" s="23">
        <v>1</v>
      </c>
      <c r="L7" s="23">
        <v>0.75</v>
      </c>
      <c r="M7" s="23">
        <v>0.75</v>
      </c>
      <c r="N7" s="23"/>
      <c r="O7" s="23"/>
      <c r="P7" s="24">
        <f t="shared" ref="P7:P19" si="1">SUM(B7:O7)</f>
        <v>10</v>
      </c>
    </row>
    <row r="8" spans="1:16" ht="20.25" customHeight="1" x14ac:dyDescent="0.25">
      <c r="A8" s="22" t="s">
        <v>29</v>
      </c>
      <c r="B8" s="23">
        <v>0.25</v>
      </c>
      <c r="C8" s="23"/>
      <c r="D8" s="23"/>
      <c r="E8" s="23"/>
      <c r="F8" s="23"/>
      <c r="G8" s="23"/>
      <c r="H8" s="23"/>
      <c r="I8" s="23"/>
      <c r="J8" s="23">
        <v>0.25</v>
      </c>
      <c r="K8" s="23"/>
      <c r="L8" s="23"/>
      <c r="M8" s="23">
        <v>0.25</v>
      </c>
      <c r="N8" s="23"/>
      <c r="O8" s="23"/>
      <c r="P8" s="24">
        <f t="shared" si="1"/>
        <v>0.75</v>
      </c>
    </row>
    <row r="9" spans="1:16" ht="20.25" customHeight="1" x14ac:dyDescent="0.25">
      <c r="A9" s="22" t="s">
        <v>26</v>
      </c>
      <c r="B9" s="23"/>
      <c r="C9" s="23"/>
      <c r="D9" s="23"/>
      <c r="E9" s="23">
        <v>1.25</v>
      </c>
      <c r="F9" s="23"/>
      <c r="G9" s="23"/>
      <c r="H9" s="23"/>
      <c r="I9" s="23"/>
      <c r="J9" s="23">
        <v>0.5</v>
      </c>
      <c r="K9" s="23"/>
      <c r="L9" s="23"/>
      <c r="M9" s="23"/>
      <c r="N9" s="23"/>
      <c r="O9" s="23"/>
      <c r="P9" s="24">
        <f t="shared" si="1"/>
        <v>1.75</v>
      </c>
    </row>
    <row r="10" spans="1:16" ht="20.25" customHeight="1" x14ac:dyDescent="0.25">
      <c r="A10" s="22" t="s">
        <v>27</v>
      </c>
      <c r="B10" s="23"/>
      <c r="C10" s="23">
        <v>2</v>
      </c>
      <c r="D10" s="23"/>
      <c r="E10" s="23"/>
      <c r="F10" s="23">
        <v>3.75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5.75</v>
      </c>
    </row>
    <row r="11" spans="1:16" ht="20.25" customHeight="1" x14ac:dyDescent="0.25">
      <c r="A11" s="22" t="s">
        <v>53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>
        <v>1</v>
      </c>
      <c r="M11" s="23"/>
      <c r="N11" s="23"/>
      <c r="O11" s="23"/>
      <c r="P11" s="24">
        <f t="shared" si="1"/>
        <v>1</v>
      </c>
    </row>
    <row r="12" spans="1:16" ht="20.25" customHeight="1" x14ac:dyDescent="0.25">
      <c r="A12" s="22" t="s">
        <v>20</v>
      </c>
      <c r="B12" s="23">
        <v>0.5</v>
      </c>
      <c r="C12" s="23">
        <v>2</v>
      </c>
      <c r="D12" s="23"/>
      <c r="E12" s="23"/>
      <c r="F12" s="23">
        <v>1</v>
      </c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3.5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>
        <v>5</v>
      </c>
      <c r="N13" s="23"/>
      <c r="O13" s="23"/>
      <c r="P13" s="24">
        <f t="shared" si="1"/>
        <v>5</v>
      </c>
    </row>
    <row r="14" spans="1:16" ht="20.25" customHeight="1" x14ac:dyDescent="0.25">
      <c r="A14" s="22" t="s">
        <v>54</v>
      </c>
      <c r="B14" s="23">
        <v>0.75</v>
      </c>
      <c r="C14" s="23">
        <v>1.25</v>
      </c>
      <c r="D14" s="23"/>
      <c r="E14" s="23">
        <v>0.5</v>
      </c>
      <c r="F14" s="23">
        <v>0.25</v>
      </c>
      <c r="G14" s="23"/>
      <c r="H14" s="23"/>
      <c r="I14" s="23">
        <v>2.5</v>
      </c>
      <c r="J14" s="23">
        <v>3.5</v>
      </c>
      <c r="K14" s="23"/>
      <c r="L14" s="23">
        <v>1.5</v>
      </c>
      <c r="M14" s="23"/>
      <c r="N14" s="23"/>
      <c r="O14" s="23"/>
      <c r="P14" s="24">
        <f t="shared" si="1"/>
        <v>10.25</v>
      </c>
    </row>
    <row r="15" spans="1:16" ht="20.25" customHeight="1" x14ac:dyDescent="0.25">
      <c r="A15" s="22" t="s">
        <v>43</v>
      </c>
      <c r="B15" s="23"/>
      <c r="C15" s="23"/>
      <c r="D15" s="23">
        <v>0.25</v>
      </c>
      <c r="E15" s="23"/>
      <c r="F15" s="23"/>
      <c r="G15" s="23"/>
      <c r="H15" s="23"/>
      <c r="I15" s="23"/>
      <c r="J15" s="23"/>
      <c r="K15" s="23"/>
      <c r="L15" s="23"/>
      <c r="M15" s="23"/>
      <c r="N15" s="23">
        <v>8</v>
      </c>
      <c r="O15" s="23"/>
      <c r="P15" s="24">
        <f t="shared" si="1"/>
        <v>8.25</v>
      </c>
    </row>
    <row r="16" spans="1:16" ht="20.25" customHeight="1" x14ac:dyDescent="0.25">
      <c r="A16" s="22" t="s">
        <v>30</v>
      </c>
      <c r="B16" s="23">
        <v>3.25</v>
      </c>
      <c r="C16" s="23"/>
      <c r="D16" s="23"/>
      <c r="E16" s="23"/>
      <c r="F16" s="23">
        <v>3</v>
      </c>
      <c r="G16" s="23"/>
      <c r="H16" s="23"/>
      <c r="I16" s="23">
        <v>1.75</v>
      </c>
      <c r="J16" s="23">
        <v>0.75</v>
      </c>
      <c r="K16" s="23">
        <v>5.5</v>
      </c>
      <c r="L16" s="23">
        <v>2</v>
      </c>
      <c r="M16" s="23">
        <v>0.75</v>
      </c>
      <c r="N16" s="23"/>
      <c r="O16" s="23"/>
      <c r="P16" s="24">
        <f t="shared" si="1"/>
        <v>17</v>
      </c>
    </row>
    <row r="17" spans="1:20" ht="20.25" customHeight="1" x14ac:dyDescent="0.25">
      <c r="A17" s="22" t="s">
        <v>28</v>
      </c>
      <c r="B17" s="23"/>
      <c r="C17" s="23"/>
      <c r="D17" s="23">
        <v>7.25</v>
      </c>
      <c r="E17" s="23"/>
      <c r="F17" s="23">
        <v>0.25</v>
      </c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7.5</v>
      </c>
    </row>
    <row r="18" spans="1:20" ht="20.25" customHeight="1" x14ac:dyDescent="0.25">
      <c r="A18" s="22" t="s">
        <v>55</v>
      </c>
      <c r="B18" s="23"/>
      <c r="C18" s="23">
        <v>0.5</v>
      </c>
      <c r="D18" s="23">
        <v>0.25</v>
      </c>
      <c r="E18" s="23"/>
      <c r="F18" s="23"/>
      <c r="G18" s="23"/>
      <c r="H18" s="23"/>
      <c r="I18" s="23"/>
      <c r="J18" s="23"/>
      <c r="K18" s="23"/>
      <c r="L18" s="23"/>
      <c r="M18" s="23">
        <v>1.5</v>
      </c>
      <c r="N18" s="23">
        <v>1</v>
      </c>
      <c r="O18" s="23"/>
      <c r="P18" s="24">
        <f t="shared" si="1"/>
        <v>3.25</v>
      </c>
    </row>
    <row r="19" spans="1:20" ht="20.25" customHeight="1" x14ac:dyDescent="0.25">
      <c r="A19" s="22" t="s">
        <v>18</v>
      </c>
      <c r="B19" s="23">
        <v>2.5</v>
      </c>
      <c r="C19" s="23">
        <v>0.75</v>
      </c>
      <c r="D19" s="23"/>
      <c r="E19" s="23">
        <v>3</v>
      </c>
      <c r="F19" s="23"/>
      <c r="G19" s="23"/>
      <c r="H19" s="23"/>
      <c r="I19" s="23"/>
      <c r="J19" s="23">
        <v>1.75</v>
      </c>
      <c r="K19" s="23">
        <v>2.5</v>
      </c>
      <c r="L19" s="23">
        <v>1.25</v>
      </c>
      <c r="M19" s="23"/>
      <c r="N19" s="23"/>
      <c r="O19" s="23"/>
      <c r="P19" s="24">
        <f t="shared" si="1"/>
        <v>11.75</v>
      </c>
    </row>
    <row r="20" spans="1:20" ht="20.25" customHeight="1" x14ac:dyDescent="0.2">
      <c r="A20" s="15" t="s">
        <v>39</v>
      </c>
      <c r="B20" s="14">
        <f t="shared" ref="B20:P20" si="2">SUM(B7:B19)</f>
        <v>8.75</v>
      </c>
      <c r="C20" s="14">
        <f t="shared" si="2"/>
        <v>7.75</v>
      </c>
      <c r="D20" s="14">
        <f t="shared" si="2"/>
        <v>7.75</v>
      </c>
      <c r="E20" s="14">
        <f t="shared" si="2"/>
        <v>7</v>
      </c>
      <c r="F20" s="14">
        <f t="shared" si="2"/>
        <v>8.75</v>
      </c>
      <c r="G20" s="14">
        <f t="shared" si="2"/>
        <v>0</v>
      </c>
      <c r="H20" s="14">
        <f t="shared" si="2"/>
        <v>0</v>
      </c>
      <c r="I20" s="14">
        <f t="shared" si="2"/>
        <v>4.75</v>
      </c>
      <c r="J20" s="14">
        <f t="shared" si="2"/>
        <v>8.25</v>
      </c>
      <c r="K20" s="14">
        <f t="shared" si="2"/>
        <v>9</v>
      </c>
      <c r="L20" s="14">
        <f t="shared" si="2"/>
        <v>6.5</v>
      </c>
      <c r="M20" s="14">
        <f t="shared" si="2"/>
        <v>8.25</v>
      </c>
      <c r="N20" s="14">
        <f t="shared" si="2"/>
        <v>9</v>
      </c>
      <c r="O20" s="14">
        <f t="shared" si="2"/>
        <v>0</v>
      </c>
      <c r="P20" s="14">
        <f t="shared" si="2"/>
        <v>85.75</v>
      </c>
    </row>
    <row r="21" spans="1:20" ht="20.25" customHeight="1" x14ac:dyDescent="0.25">
      <c r="A21"/>
      <c r="B21"/>
      <c r="C21"/>
      <c r="D21"/>
      <c r="E21"/>
      <c r="F21"/>
      <c r="G21" s="22" t="s">
        <v>57</v>
      </c>
      <c r="H21" s="14">
        <f>SUM(B20:H20)</f>
        <v>40</v>
      </c>
      <c r="I21"/>
      <c r="J21"/>
      <c r="K21"/>
      <c r="L21"/>
      <c r="M21"/>
      <c r="N21" s="22" t="s">
        <v>58</v>
      </c>
      <c r="O21" s="14">
        <f>SUM(I20:O20)</f>
        <v>45.75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conditionalFormatting sqref="B20:F20 I20:M20">
    <cfRule type="cellIs" dxfId="43" priority="6" operator="greaterThan">
      <formula>8</formula>
    </cfRule>
    <cfRule type="cellIs" dxfId="42" priority="119" operator="equal">
      <formula>8</formula>
    </cfRule>
  </conditionalFormatting>
  <conditionalFormatting sqref="P7:P19">
    <cfRule type="cellIs" dxfId="41" priority="5" operator="greaterThan">
      <formula>80</formula>
    </cfRule>
  </conditionalFormatting>
  <conditionalFormatting sqref="P20">
    <cfRule type="cellIs" dxfId="40" priority="4" operator="greaterThan">
      <formula>80</formula>
    </cfRule>
    <cfRule type="cellIs" dxfId="39" priority="120" operator="equal">
      <formula>80</formula>
    </cfRule>
  </conditionalFormatting>
  <conditionalFormatting sqref="H21">
    <cfRule type="cellIs" dxfId="38" priority="3" operator="greaterThan">
      <formula>40</formula>
    </cfRule>
    <cfRule type="cellIs" dxfId="37" priority="121" operator="equal">
      <formula>40</formula>
    </cfRule>
  </conditionalFormatting>
  <conditionalFormatting sqref="O21">
    <cfRule type="cellIs" dxfId="36" priority="2" operator="greaterThan">
      <formula>40</formula>
    </cfRule>
    <cfRule type="cellIs" dxfId="35" priority="122" operator="equal">
      <formula>40</formula>
    </cfRule>
  </conditionalFormatting>
  <conditionalFormatting sqref="G20:H20 N20:O20">
    <cfRule type="cellIs" dxfId="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7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1745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T214"/>
  <sheetViews>
    <sheetView workbookViewId="0">
      <selection activeCell="L19" sqref="L1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40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INDEX(Refs!D:D,MATCH('FY13-01'!B1 &amp; 'FY13-01'!B2,Refs!K:K,0))</f>
        <v>41267</v>
      </c>
      <c r="C5" s="12">
        <f>B5+1</f>
        <v>41268</v>
      </c>
      <c r="D5" s="12">
        <f t="shared" ref="D5:O5" si="0">C5+1</f>
        <v>41269</v>
      </c>
      <c r="E5" s="12">
        <f t="shared" si="0"/>
        <v>41270</v>
      </c>
      <c r="F5" s="12">
        <f t="shared" si="0"/>
        <v>41271</v>
      </c>
      <c r="G5" s="12">
        <f t="shared" si="0"/>
        <v>41272</v>
      </c>
      <c r="H5" s="12">
        <f t="shared" si="0"/>
        <v>41273</v>
      </c>
      <c r="I5" s="12">
        <f t="shared" si="0"/>
        <v>41274</v>
      </c>
      <c r="J5" s="12">
        <f t="shared" si="0"/>
        <v>41275</v>
      </c>
      <c r="K5" s="12">
        <f t="shared" si="0"/>
        <v>41276</v>
      </c>
      <c r="L5" s="12">
        <f t="shared" si="0"/>
        <v>41277</v>
      </c>
      <c r="M5" s="12">
        <f t="shared" si="0"/>
        <v>41278</v>
      </c>
      <c r="N5" s="12">
        <f t="shared" si="0"/>
        <v>41279</v>
      </c>
      <c r="O5" s="12">
        <f t="shared" si="0"/>
        <v>41280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2" t="s">
        <v>17</v>
      </c>
      <c r="B7" s="23"/>
      <c r="C7" s="23"/>
      <c r="D7" s="23"/>
      <c r="E7" s="23"/>
      <c r="F7" s="23"/>
      <c r="G7" s="23"/>
      <c r="H7" s="23"/>
      <c r="I7" s="23">
        <v>0.75</v>
      </c>
      <c r="J7" s="23"/>
      <c r="K7" s="23">
        <v>2</v>
      </c>
      <c r="L7" s="23">
        <v>3</v>
      </c>
      <c r="M7" s="23">
        <v>3</v>
      </c>
      <c r="N7" s="23"/>
      <c r="O7" s="23"/>
      <c r="P7" s="24">
        <f t="shared" ref="P7:P13" si="1">SUM(B7:O7)</f>
        <v>8.75</v>
      </c>
    </row>
    <row r="8" spans="1:20" ht="20.25" customHeight="1" x14ac:dyDescent="0.25">
      <c r="A8" s="22" t="s">
        <v>29</v>
      </c>
      <c r="B8" s="23"/>
      <c r="C8" s="23"/>
      <c r="D8" s="23"/>
      <c r="E8" s="23"/>
      <c r="F8" s="23"/>
      <c r="G8" s="23"/>
      <c r="H8" s="23"/>
      <c r="I8" s="23"/>
      <c r="J8" s="23"/>
      <c r="K8" s="23">
        <v>0.5</v>
      </c>
      <c r="L8" s="23"/>
      <c r="M8" s="23"/>
      <c r="N8" s="23"/>
      <c r="O8" s="23"/>
      <c r="P8" s="24">
        <f t="shared" si="1"/>
        <v>0.5</v>
      </c>
    </row>
    <row r="9" spans="1:20" ht="20.25" customHeight="1" x14ac:dyDescent="0.25">
      <c r="A9" s="22" t="s">
        <v>53</v>
      </c>
      <c r="B9" s="23"/>
      <c r="C9" s="23"/>
      <c r="D9" s="23"/>
      <c r="E9" s="23"/>
      <c r="F9" s="23"/>
      <c r="G9" s="23"/>
      <c r="H9" s="23"/>
      <c r="I9" s="23"/>
      <c r="J9" s="23"/>
      <c r="K9" s="23">
        <v>0.75</v>
      </c>
      <c r="L9" s="23"/>
      <c r="M9" s="23"/>
      <c r="N9" s="23"/>
      <c r="O9" s="23"/>
      <c r="P9" s="24">
        <f t="shared" si="1"/>
        <v>0.75</v>
      </c>
    </row>
    <row r="10" spans="1:20" ht="20.25" customHeight="1" x14ac:dyDescent="0.25">
      <c r="A10" s="22" t="s">
        <v>19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>
        <v>1.5</v>
      </c>
      <c r="M10" s="23"/>
      <c r="N10" s="23"/>
      <c r="O10" s="23"/>
      <c r="P10" s="24">
        <f t="shared" si="1"/>
        <v>1.5</v>
      </c>
    </row>
    <row r="11" spans="1:20" ht="20.25" customHeight="1" x14ac:dyDescent="0.25">
      <c r="A11" s="22" t="s">
        <v>54</v>
      </c>
      <c r="B11" s="23"/>
      <c r="C11" s="23"/>
      <c r="D11" s="23"/>
      <c r="E11" s="23"/>
      <c r="F11" s="23"/>
      <c r="G11" s="23"/>
      <c r="H11" s="23"/>
      <c r="I11" s="23">
        <v>6</v>
      </c>
      <c r="J11" s="23"/>
      <c r="K11" s="23">
        <v>4.75</v>
      </c>
      <c r="L11" s="23">
        <v>2.5</v>
      </c>
      <c r="M11" s="23">
        <v>3</v>
      </c>
      <c r="N11" s="23"/>
      <c r="O11" s="23"/>
      <c r="P11" s="24">
        <f t="shared" si="1"/>
        <v>16.25</v>
      </c>
    </row>
    <row r="12" spans="1:20" ht="20.25" customHeight="1" x14ac:dyDescent="0.25">
      <c r="A12" s="22" t="s">
        <v>30</v>
      </c>
      <c r="B12" s="23"/>
      <c r="C12" s="23"/>
      <c r="D12" s="23"/>
      <c r="E12" s="23"/>
      <c r="F12" s="23"/>
      <c r="G12" s="23"/>
      <c r="H12" s="23"/>
      <c r="I12" s="23">
        <v>0.75</v>
      </c>
      <c r="J12" s="23"/>
      <c r="K12" s="23">
        <v>0.75</v>
      </c>
      <c r="L12" s="23">
        <v>1</v>
      </c>
      <c r="M12" s="23">
        <v>1.5</v>
      </c>
      <c r="N12" s="23"/>
      <c r="O12" s="23"/>
      <c r="P12" s="24">
        <f t="shared" si="1"/>
        <v>4</v>
      </c>
    </row>
    <row r="13" spans="1:20" ht="20.25" customHeight="1" x14ac:dyDescent="0.25">
      <c r="A13" s="22" t="s">
        <v>28</v>
      </c>
      <c r="B13" s="23">
        <v>8</v>
      </c>
      <c r="C13" s="23">
        <v>8</v>
      </c>
      <c r="D13" s="23">
        <v>8</v>
      </c>
      <c r="E13" s="23">
        <v>8</v>
      </c>
      <c r="F13" s="23">
        <v>8</v>
      </c>
      <c r="G13" s="23"/>
      <c r="H13" s="23"/>
      <c r="I13" s="23"/>
      <c r="J13" s="23">
        <v>8</v>
      </c>
      <c r="K13" s="23"/>
      <c r="L13" s="23"/>
      <c r="M13" s="23"/>
      <c r="N13" s="23"/>
      <c r="O13" s="23"/>
      <c r="P13" s="24">
        <f t="shared" si="1"/>
        <v>48</v>
      </c>
    </row>
    <row r="14" spans="1:20" ht="20.25" customHeight="1" x14ac:dyDescent="0.2">
      <c r="A14" s="15" t="s">
        <v>39</v>
      </c>
      <c r="B14" s="14">
        <f t="shared" ref="B14:P14" si="2">SUM(B7:B13)</f>
        <v>8</v>
      </c>
      <c r="C14" s="14">
        <f t="shared" si="2"/>
        <v>8</v>
      </c>
      <c r="D14" s="14">
        <f t="shared" si="2"/>
        <v>8</v>
      </c>
      <c r="E14" s="14">
        <f t="shared" si="2"/>
        <v>8</v>
      </c>
      <c r="F14" s="14">
        <f t="shared" si="2"/>
        <v>8</v>
      </c>
      <c r="G14" s="14">
        <f t="shared" si="2"/>
        <v>0</v>
      </c>
      <c r="H14" s="14">
        <f t="shared" si="2"/>
        <v>0</v>
      </c>
      <c r="I14" s="14">
        <f t="shared" si="2"/>
        <v>7.5</v>
      </c>
      <c r="J14" s="14">
        <f t="shared" si="2"/>
        <v>8</v>
      </c>
      <c r="K14" s="14">
        <f t="shared" si="2"/>
        <v>8.75</v>
      </c>
      <c r="L14" s="14">
        <f t="shared" si="2"/>
        <v>8</v>
      </c>
      <c r="M14" s="14">
        <f t="shared" si="2"/>
        <v>7.5</v>
      </c>
      <c r="N14" s="14">
        <f t="shared" si="2"/>
        <v>0</v>
      </c>
      <c r="O14" s="14">
        <f t="shared" si="2"/>
        <v>0</v>
      </c>
      <c r="P14" s="14">
        <f t="shared" si="2"/>
        <v>79.75</v>
      </c>
    </row>
    <row r="15" spans="1:20" ht="20.25" customHeight="1" x14ac:dyDescent="0.25">
      <c r="A15"/>
      <c r="B15"/>
      <c r="C15"/>
      <c r="D15"/>
      <c r="E15"/>
      <c r="F15"/>
      <c r="G15" s="22" t="s">
        <v>57</v>
      </c>
      <c r="H15" s="14">
        <f>SUM(B14:H14)</f>
        <v>40</v>
      </c>
      <c r="I15"/>
      <c r="J15"/>
      <c r="K15"/>
      <c r="L15"/>
      <c r="M15"/>
      <c r="N15" s="22" t="s">
        <v>58</v>
      </c>
      <c r="O15" s="14">
        <f>SUM(I14:O14)</f>
        <v>39.75</v>
      </c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</sheetData>
  <sortState ref="A7:P13">
    <sortCondition ref="A7:A13"/>
  </sortState>
  <conditionalFormatting sqref="B14:F14 I14:M14">
    <cfRule type="cellIs" dxfId="33" priority="6" operator="greaterThan">
      <formula>8</formula>
    </cfRule>
    <cfRule type="cellIs" dxfId="32" priority="103" operator="equal">
      <formula>8</formula>
    </cfRule>
  </conditionalFormatting>
  <conditionalFormatting sqref="P7:P13">
    <cfRule type="cellIs" dxfId="31" priority="5" operator="greaterThan">
      <formula>80</formula>
    </cfRule>
  </conditionalFormatting>
  <conditionalFormatting sqref="P14">
    <cfRule type="cellIs" dxfId="30" priority="4" operator="greaterThan">
      <formula>80</formula>
    </cfRule>
    <cfRule type="cellIs" dxfId="29" priority="104" operator="equal">
      <formula>80</formula>
    </cfRule>
  </conditionalFormatting>
  <conditionalFormatting sqref="H15">
    <cfRule type="cellIs" dxfId="28" priority="3" operator="greaterThan">
      <formula>40</formula>
    </cfRule>
    <cfRule type="cellIs" dxfId="27" priority="105" operator="equal">
      <formula>40</formula>
    </cfRule>
  </conditionalFormatting>
  <conditionalFormatting sqref="O15">
    <cfRule type="cellIs" dxfId="26" priority="2" operator="greaterThan">
      <formula>40</formula>
    </cfRule>
    <cfRule type="cellIs" dxfId="25" priority="106" operator="equal">
      <formula>40</formula>
    </cfRule>
  </conditionalFormatting>
  <conditionalFormatting sqref="G14:H14 N14:O14">
    <cfRule type="cellIs" dxfId="2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5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1505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20"/>
  <sheetViews>
    <sheetView workbookViewId="0">
      <selection activeCell="N16" sqref="N1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INDEX(Refs!D:D,MATCH('FY13-26'!B1 &amp; 'FY13-26'!B2,Refs!K:K,0))</f>
        <v>41253</v>
      </c>
      <c r="C5" s="12">
        <f>B5+1</f>
        <v>41254</v>
      </c>
      <c r="D5" s="12">
        <f t="shared" ref="D5:O5" si="0">C5+1</f>
        <v>41255</v>
      </c>
      <c r="E5" s="12">
        <f t="shared" si="0"/>
        <v>41256</v>
      </c>
      <c r="F5" s="12">
        <f t="shared" si="0"/>
        <v>41257</v>
      </c>
      <c r="G5" s="12">
        <f t="shared" si="0"/>
        <v>41258</v>
      </c>
      <c r="H5" s="12">
        <f t="shared" si="0"/>
        <v>41259</v>
      </c>
      <c r="I5" s="12">
        <f t="shared" si="0"/>
        <v>41260</v>
      </c>
      <c r="J5" s="12">
        <f t="shared" si="0"/>
        <v>41261</v>
      </c>
      <c r="K5" s="12">
        <f t="shared" si="0"/>
        <v>41262</v>
      </c>
      <c r="L5" s="12">
        <f t="shared" si="0"/>
        <v>41263</v>
      </c>
      <c r="M5" s="12">
        <f t="shared" si="0"/>
        <v>41264</v>
      </c>
      <c r="N5" s="12">
        <f t="shared" si="0"/>
        <v>41265</v>
      </c>
      <c r="O5" s="12">
        <f t="shared" si="0"/>
        <v>41266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>
        <v>1</v>
      </c>
      <c r="D7" s="21">
        <v>1.25</v>
      </c>
      <c r="E7" s="21">
        <v>1.5</v>
      </c>
      <c r="F7" s="21">
        <v>0.75</v>
      </c>
      <c r="G7" s="21"/>
      <c r="H7" s="21"/>
      <c r="I7" s="21">
        <v>2</v>
      </c>
      <c r="J7" s="21">
        <v>1.5</v>
      </c>
      <c r="K7" s="21">
        <v>4</v>
      </c>
      <c r="L7" s="21">
        <v>4.75</v>
      </c>
      <c r="M7" s="21">
        <v>4</v>
      </c>
      <c r="N7" s="21"/>
      <c r="O7" s="21"/>
      <c r="P7" s="5">
        <f t="shared" ref="P7:P19" si="1">SUM(B7:O7)</f>
        <v>20.75</v>
      </c>
    </row>
    <row r="8" spans="1:16" ht="20.25" customHeight="1" x14ac:dyDescent="0.25">
      <c r="A8" s="7" t="s">
        <v>29</v>
      </c>
      <c r="B8" s="21"/>
      <c r="C8" s="21">
        <v>0.5</v>
      </c>
      <c r="D8" s="21"/>
      <c r="E8" s="21"/>
      <c r="F8" s="21"/>
      <c r="G8" s="21"/>
      <c r="H8" s="21"/>
      <c r="I8" s="21">
        <v>1</v>
      </c>
      <c r="J8" s="21"/>
      <c r="K8" s="21"/>
      <c r="L8" s="21"/>
      <c r="M8" s="21"/>
      <c r="N8" s="21"/>
      <c r="O8" s="21"/>
      <c r="P8" s="5">
        <f t="shared" si="1"/>
        <v>1.5</v>
      </c>
    </row>
    <row r="9" spans="1:16" ht="20.25" customHeight="1" x14ac:dyDescent="0.25">
      <c r="A9" s="7" t="s">
        <v>26</v>
      </c>
      <c r="B9" s="21"/>
      <c r="C9" s="21"/>
      <c r="D9" s="21"/>
      <c r="E9" s="21">
        <v>0.75</v>
      </c>
      <c r="F9" s="21"/>
      <c r="G9" s="21"/>
      <c r="H9" s="21"/>
      <c r="I9" s="21"/>
      <c r="J9" s="21">
        <v>1.25</v>
      </c>
      <c r="K9" s="21"/>
      <c r="L9" s="21">
        <v>1.25</v>
      </c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51</v>
      </c>
      <c r="B10" s="21"/>
      <c r="C10" s="21"/>
      <c r="D10" s="21"/>
      <c r="E10" s="21"/>
      <c r="F10" s="21"/>
      <c r="G10" s="21"/>
      <c r="H10" s="21"/>
      <c r="I10" s="21"/>
      <c r="J10" s="21">
        <v>1.25</v>
      </c>
      <c r="K10" s="21"/>
      <c r="L10" s="21"/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53</v>
      </c>
      <c r="B11" s="21"/>
      <c r="C11" s="21"/>
      <c r="D11" s="21"/>
      <c r="E11" s="21">
        <v>0.25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0.25</v>
      </c>
    </row>
    <row r="12" spans="1:16" ht="20.25" customHeight="1" x14ac:dyDescent="0.25">
      <c r="A12" s="7" t="s">
        <v>20</v>
      </c>
      <c r="B12" s="21"/>
      <c r="C12" s="21">
        <v>1</v>
      </c>
      <c r="D12" s="21"/>
      <c r="E12" s="21"/>
      <c r="F12" s="21"/>
      <c r="G12" s="21"/>
      <c r="H12" s="21"/>
      <c r="I12" s="21"/>
      <c r="J12" s="21"/>
      <c r="K12" s="21">
        <v>1.5</v>
      </c>
      <c r="L12" s="21"/>
      <c r="M12" s="21"/>
      <c r="N12" s="21"/>
      <c r="O12" s="21"/>
      <c r="P12" s="5">
        <f t="shared" si="1"/>
        <v>2.5</v>
      </c>
    </row>
    <row r="13" spans="1:16" ht="20.25" customHeight="1" x14ac:dyDescent="0.25">
      <c r="A13" s="7" t="s">
        <v>21</v>
      </c>
      <c r="B13" s="21"/>
      <c r="C13" s="21"/>
      <c r="D13" s="21">
        <v>1</v>
      </c>
      <c r="E13" s="21"/>
      <c r="F13" s="21"/>
      <c r="G13" s="21"/>
      <c r="H13" s="21"/>
      <c r="I13" s="21"/>
      <c r="J13" s="21"/>
      <c r="K13" s="21"/>
      <c r="L13" s="21"/>
      <c r="M13" s="21">
        <v>1</v>
      </c>
      <c r="N13" s="21"/>
      <c r="O13" s="21"/>
      <c r="P13" s="5">
        <f t="shared" si="1"/>
        <v>2</v>
      </c>
    </row>
    <row r="14" spans="1:16" ht="20.25" customHeight="1" x14ac:dyDescent="0.25">
      <c r="A14" s="7" t="s">
        <v>54</v>
      </c>
      <c r="B14" s="21"/>
      <c r="C14" s="21">
        <v>2</v>
      </c>
      <c r="D14" s="21">
        <v>3.25</v>
      </c>
      <c r="E14" s="21">
        <v>4</v>
      </c>
      <c r="F14" s="21">
        <v>4.5</v>
      </c>
      <c r="G14" s="21"/>
      <c r="H14" s="21"/>
      <c r="I14" s="21">
        <v>1.75</v>
      </c>
      <c r="J14" s="21">
        <v>4</v>
      </c>
      <c r="K14" s="21">
        <v>3</v>
      </c>
      <c r="L14" s="21">
        <v>1.75</v>
      </c>
      <c r="M14" s="21">
        <v>1.5</v>
      </c>
      <c r="N14" s="21"/>
      <c r="O14" s="21"/>
      <c r="P14" s="5">
        <f t="shared" si="1"/>
        <v>25.75</v>
      </c>
    </row>
    <row r="15" spans="1:16" ht="20.25" customHeight="1" x14ac:dyDescent="0.25">
      <c r="A15" s="7" t="s">
        <v>30</v>
      </c>
      <c r="B15" s="21"/>
      <c r="C15" s="21">
        <v>3</v>
      </c>
      <c r="D15" s="21">
        <v>0.5</v>
      </c>
      <c r="E15" s="21">
        <v>0.25</v>
      </c>
      <c r="F15" s="21">
        <v>1.5</v>
      </c>
      <c r="G15" s="21"/>
      <c r="H15" s="21"/>
      <c r="I15" s="21">
        <v>1.25</v>
      </c>
      <c r="J15" s="21">
        <v>0.75</v>
      </c>
      <c r="K15" s="21"/>
      <c r="L15" s="21"/>
      <c r="M15" s="21">
        <v>0.5</v>
      </c>
      <c r="N15" s="21"/>
      <c r="O15" s="21"/>
      <c r="P15" s="5">
        <f t="shared" si="1"/>
        <v>7.75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2</v>
      </c>
      <c r="G16" s="21"/>
      <c r="H16" s="21"/>
      <c r="I16" s="21"/>
      <c r="J16" s="21"/>
      <c r="K16" s="21"/>
      <c r="L16" s="21"/>
      <c r="M16" s="21">
        <v>1.5</v>
      </c>
      <c r="N16" s="21"/>
      <c r="O16" s="21"/>
      <c r="P16" s="5">
        <f t="shared" si="1"/>
        <v>3.5</v>
      </c>
    </row>
    <row r="17" spans="1:16" ht="20.25" customHeight="1" x14ac:dyDescent="0.25">
      <c r="A17" s="7" t="s">
        <v>22</v>
      </c>
      <c r="B17" s="21">
        <v>7.75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7.75</v>
      </c>
    </row>
    <row r="18" spans="1:16" ht="20.25" customHeight="1" x14ac:dyDescent="0.25">
      <c r="A18" s="7" t="s">
        <v>55</v>
      </c>
      <c r="B18" s="21">
        <v>1.5</v>
      </c>
      <c r="C18" s="21"/>
      <c r="D18" s="21">
        <v>1.5</v>
      </c>
      <c r="E18" s="21"/>
      <c r="F18" s="21"/>
      <c r="G18" s="21"/>
      <c r="H18" s="21"/>
      <c r="I18" s="21"/>
      <c r="J18" s="21"/>
      <c r="K18" s="21"/>
      <c r="L18" s="21"/>
      <c r="M18" s="21">
        <v>0.5</v>
      </c>
      <c r="N18" s="21"/>
      <c r="O18" s="21"/>
      <c r="P18" s="5">
        <f t="shared" si="1"/>
        <v>3.5</v>
      </c>
    </row>
    <row r="19" spans="1:16" ht="20.25" customHeight="1" x14ac:dyDescent="0.25">
      <c r="A19" s="7" t="s">
        <v>18</v>
      </c>
      <c r="B19" s="21"/>
      <c r="C19" s="21"/>
      <c r="D19" s="21"/>
      <c r="E19" s="21">
        <v>0.25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5">
        <f t="shared" si="1"/>
        <v>0.25</v>
      </c>
    </row>
    <row r="20" spans="1:16" ht="20.25" customHeight="1" x14ac:dyDescent="0.2">
      <c r="A20" s="15" t="s">
        <v>39</v>
      </c>
      <c r="B20" s="14">
        <f t="shared" ref="B20:P20" si="2">SUM(B7:B19)</f>
        <v>9.25</v>
      </c>
      <c r="C20" s="14">
        <f t="shared" si="2"/>
        <v>7.5</v>
      </c>
      <c r="D20" s="14">
        <f t="shared" si="2"/>
        <v>7.5</v>
      </c>
      <c r="E20" s="14">
        <f t="shared" si="2"/>
        <v>7</v>
      </c>
      <c r="F20" s="14">
        <f t="shared" si="2"/>
        <v>8.75</v>
      </c>
      <c r="G20" s="14">
        <f t="shared" si="2"/>
        <v>0</v>
      </c>
      <c r="H20" s="14">
        <f t="shared" si="2"/>
        <v>0</v>
      </c>
      <c r="I20" s="14">
        <f t="shared" si="2"/>
        <v>6</v>
      </c>
      <c r="J20" s="14">
        <f t="shared" si="2"/>
        <v>8.75</v>
      </c>
      <c r="K20" s="14">
        <f t="shared" si="2"/>
        <v>8.5</v>
      </c>
      <c r="L20" s="14">
        <f t="shared" si="2"/>
        <v>7.75</v>
      </c>
      <c r="M20" s="14">
        <f t="shared" si="2"/>
        <v>9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</sheetData>
  <sortState ref="A7:P19">
    <sortCondition ref="A7:A19"/>
  </sortState>
  <conditionalFormatting sqref="B20:O20">
    <cfRule type="cellIs" dxfId="23" priority="3" operator="greaterThan">
      <formula>8</formula>
    </cfRule>
  </conditionalFormatting>
  <conditionalFormatting sqref="P7:P19">
    <cfRule type="cellIs" dxfId="22" priority="2" operator="greaterThan">
      <formula>80</formula>
    </cfRule>
  </conditionalFormatting>
  <conditionalFormatting sqref="P20">
    <cfRule type="cellIs" dxfId="21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20"/>
  <sheetViews>
    <sheetView workbookViewId="0">
      <selection activeCell="N14" sqref="N14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INDEX(Refs!D:D,MATCH('FY13-25'!B1 &amp; 'FY13-25'!B2,Refs!K:K,0))</f>
        <v>41239</v>
      </c>
      <c r="C5" s="12">
        <f>B5+1</f>
        <v>41240</v>
      </c>
      <c r="D5" s="12">
        <f t="shared" ref="D5:O5" si="0">C5+1</f>
        <v>41241</v>
      </c>
      <c r="E5" s="12">
        <f t="shared" si="0"/>
        <v>41242</v>
      </c>
      <c r="F5" s="12">
        <f t="shared" si="0"/>
        <v>41243</v>
      </c>
      <c r="G5" s="12">
        <f t="shared" si="0"/>
        <v>41244</v>
      </c>
      <c r="H5" s="12">
        <f t="shared" si="0"/>
        <v>41245</v>
      </c>
      <c r="I5" s="12">
        <f t="shared" si="0"/>
        <v>41246</v>
      </c>
      <c r="J5" s="12">
        <f t="shared" si="0"/>
        <v>41247</v>
      </c>
      <c r="K5" s="12">
        <f t="shared" si="0"/>
        <v>41248</v>
      </c>
      <c r="L5" s="12">
        <f t="shared" si="0"/>
        <v>41249</v>
      </c>
      <c r="M5" s="12">
        <f t="shared" si="0"/>
        <v>41250</v>
      </c>
      <c r="N5" s="12">
        <f t="shared" si="0"/>
        <v>41251</v>
      </c>
      <c r="O5" s="12">
        <f t="shared" si="0"/>
        <v>41252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1.25</v>
      </c>
      <c r="C7" s="21">
        <v>0.75</v>
      </c>
      <c r="D7" s="21">
        <v>0.75</v>
      </c>
      <c r="E7" s="21">
        <v>0.75</v>
      </c>
      <c r="F7" s="21">
        <v>1.25</v>
      </c>
      <c r="G7" s="21"/>
      <c r="H7" s="21"/>
      <c r="I7" s="21">
        <v>0.75</v>
      </c>
      <c r="J7" s="21">
        <v>0.75</v>
      </c>
      <c r="K7" s="21">
        <v>2</v>
      </c>
      <c r="L7" s="21"/>
      <c r="M7" s="21">
        <v>1.5</v>
      </c>
      <c r="N7" s="21"/>
      <c r="O7" s="21"/>
      <c r="P7" s="5">
        <f t="shared" ref="P7:P19" si="1">SUM(B7:O7)</f>
        <v>9.75</v>
      </c>
    </row>
    <row r="8" spans="1:16" ht="20.25" customHeight="1" x14ac:dyDescent="0.25">
      <c r="A8" s="7" t="s">
        <v>29</v>
      </c>
      <c r="B8" s="21">
        <v>0.75</v>
      </c>
      <c r="C8" s="21"/>
      <c r="D8" s="21"/>
      <c r="E8" s="21">
        <v>0.5</v>
      </c>
      <c r="F8" s="21"/>
      <c r="G8" s="21"/>
      <c r="H8" s="21"/>
      <c r="I8" s="21">
        <v>0.25</v>
      </c>
      <c r="J8" s="21"/>
      <c r="K8" s="21"/>
      <c r="L8" s="21"/>
      <c r="M8" s="21"/>
      <c r="N8" s="21"/>
      <c r="O8" s="21"/>
      <c r="P8" s="5">
        <f t="shared" si="1"/>
        <v>1.5</v>
      </c>
    </row>
    <row r="9" spans="1:16" ht="20.25" customHeight="1" x14ac:dyDescent="0.25">
      <c r="A9" s="7" t="s">
        <v>26</v>
      </c>
      <c r="B9" s="21"/>
      <c r="C9" s="21">
        <v>1</v>
      </c>
      <c r="D9" s="21">
        <v>0.75</v>
      </c>
      <c r="E9" s="21"/>
      <c r="F9" s="21">
        <v>1</v>
      </c>
      <c r="G9" s="21"/>
      <c r="H9" s="21"/>
      <c r="I9" s="21"/>
      <c r="J9" s="21"/>
      <c r="K9" s="21">
        <v>0.5</v>
      </c>
      <c r="L9" s="21"/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53</v>
      </c>
      <c r="B10" s="21"/>
      <c r="C10" s="21"/>
      <c r="D10" s="21"/>
      <c r="E10" s="21"/>
      <c r="F10" s="21">
        <v>1</v>
      </c>
      <c r="G10" s="21"/>
      <c r="H10" s="21"/>
      <c r="I10" s="21"/>
      <c r="J10" s="21"/>
      <c r="K10" s="21"/>
      <c r="L10" s="21"/>
      <c r="M10" s="21"/>
      <c r="N10" s="21"/>
      <c r="O10" s="21"/>
      <c r="P10" s="5">
        <f t="shared" si="1"/>
        <v>1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0.75</v>
      </c>
    </row>
    <row r="12" spans="1:16" ht="20.25" customHeight="1" x14ac:dyDescent="0.25">
      <c r="A12" s="7" t="s">
        <v>21</v>
      </c>
      <c r="B12" s="21"/>
      <c r="C12" s="21"/>
      <c r="D12" s="21"/>
      <c r="E12" s="21">
        <v>2.75</v>
      </c>
      <c r="F12" s="21"/>
      <c r="G12" s="21"/>
      <c r="H12" s="21"/>
      <c r="I12" s="21"/>
      <c r="J12" s="21"/>
      <c r="K12" s="21"/>
      <c r="L12" s="21">
        <v>1.5</v>
      </c>
      <c r="M12" s="21"/>
      <c r="N12" s="21"/>
      <c r="O12" s="21"/>
      <c r="P12" s="5">
        <f t="shared" si="1"/>
        <v>4.25</v>
      </c>
    </row>
    <row r="13" spans="1:16" ht="20.25" customHeight="1" x14ac:dyDescent="0.25">
      <c r="A13" s="7" t="s">
        <v>19</v>
      </c>
      <c r="B13" s="21">
        <v>1</v>
      </c>
      <c r="C13" s="21"/>
      <c r="D13" s="21">
        <v>1.75</v>
      </c>
      <c r="E13" s="21"/>
      <c r="F13" s="21"/>
      <c r="G13" s="21"/>
      <c r="H13" s="21"/>
      <c r="I13" s="21">
        <v>2</v>
      </c>
      <c r="J13" s="21"/>
      <c r="K13" s="21"/>
      <c r="L13" s="21"/>
      <c r="M13" s="21"/>
      <c r="N13" s="21"/>
      <c r="O13" s="21"/>
      <c r="P13" s="5">
        <f t="shared" si="1"/>
        <v>4.75</v>
      </c>
    </row>
    <row r="14" spans="1:16" ht="20.25" customHeight="1" x14ac:dyDescent="0.25">
      <c r="A14" s="7" t="s">
        <v>54</v>
      </c>
      <c r="B14" s="21">
        <v>3.5</v>
      </c>
      <c r="C14" s="21">
        <v>5.25</v>
      </c>
      <c r="D14" s="21">
        <v>2</v>
      </c>
      <c r="E14" s="21">
        <v>2.5</v>
      </c>
      <c r="F14" s="21">
        <v>4</v>
      </c>
      <c r="G14" s="21"/>
      <c r="H14" s="21"/>
      <c r="I14" s="21">
        <v>5.5</v>
      </c>
      <c r="J14" s="21">
        <v>4.25</v>
      </c>
      <c r="K14" s="21">
        <v>4</v>
      </c>
      <c r="L14" s="21">
        <v>5.5</v>
      </c>
      <c r="M14" s="21">
        <v>4.75</v>
      </c>
      <c r="N14" s="21"/>
      <c r="O14" s="21"/>
      <c r="P14" s="5">
        <f t="shared" si="1"/>
        <v>41.25</v>
      </c>
    </row>
    <row r="15" spans="1:16" ht="20.25" customHeight="1" x14ac:dyDescent="0.25">
      <c r="A15" s="7" t="s">
        <v>30</v>
      </c>
      <c r="B15" s="21">
        <v>1</v>
      </c>
      <c r="C15" s="21"/>
      <c r="D15" s="21"/>
      <c r="E15" s="21"/>
      <c r="F15" s="21"/>
      <c r="G15" s="21"/>
      <c r="H15" s="21"/>
      <c r="I15" s="21">
        <v>0.25</v>
      </c>
      <c r="J15" s="21">
        <v>2</v>
      </c>
      <c r="K15" s="21"/>
      <c r="L15" s="21">
        <v>0.5</v>
      </c>
      <c r="M15" s="21">
        <v>0.5</v>
      </c>
      <c r="N15" s="21"/>
      <c r="O15" s="21"/>
      <c r="P15" s="5">
        <f t="shared" si="1"/>
        <v>4.25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3</v>
      </c>
      <c r="G16" s="21"/>
      <c r="H16" s="21"/>
      <c r="I16" s="21"/>
      <c r="J16" s="21"/>
      <c r="K16" s="21"/>
      <c r="L16" s="21"/>
      <c r="M16" s="21"/>
      <c r="N16" s="21"/>
      <c r="O16" s="21"/>
      <c r="P16" s="5">
        <f t="shared" si="1"/>
        <v>3</v>
      </c>
    </row>
    <row r="17" spans="1:16" ht="20.25" customHeight="1" x14ac:dyDescent="0.25">
      <c r="A17" s="7" t="s">
        <v>23</v>
      </c>
      <c r="B17" s="21"/>
      <c r="C17" s="21"/>
      <c r="D17" s="21"/>
      <c r="E17" s="21"/>
      <c r="F17" s="21"/>
      <c r="G17" s="21"/>
      <c r="H17" s="21"/>
      <c r="I17" s="21">
        <v>1.5</v>
      </c>
      <c r="J17" s="21"/>
      <c r="K17" s="21"/>
      <c r="L17" s="21"/>
      <c r="M17" s="21"/>
      <c r="N17" s="21"/>
      <c r="O17" s="21"/>
      <c r="P17" s="5">
        <f t="shared" si="1"/>
        <v>1.5</v>
      </c>
    </row>
    <row r="18" spans="1:16" ht="20.25" customHeight="1" x14ac:dyDescent="0.25">
      <c r="A18" s="7" t="s">
        <v>55</v>
      </c>
      <c r="B18" s="21"/>
      <c r="C18" s="21"/>
      <c r="D18" s="21"/>
      <c r="E18" s="21">
        <v>1.75</v>
      </c>
      <c r="F18" s="21"/>
      <c r="G18" s="21"/>
      <c r="H18" s="21"/>
      <c r="I18" s="21">
        <v>0.25</v>
      </c>
      <c r="J18" s="21"/>
      <c r="K18" s="21"/>
      <c r="L18" s="21">
        <v>0.5</v>
      </c>
      <c r="M18" s="21"/>
      <c r="N18" s="21"/>
      <c r="O18" s="21"/>
      <c r="P18" s="5">
        <f t="shared" si="1"/>
        <v>2.5</v>
      </c>
    </row>
    <row r="19" spans="1:16" ht="20.25" customHeight="1" x14ac:dyDescent="0.25">
      <c r="A19" s="7" t="s">
        <v>18</v>
      </c>
      <c r="B19" s="21">
        <v>0.25</v>
      </c>
      <c r="C19" s="21"/>
      <c r="D19" s="21">
        <v>0.5</v>
      </c>
      <c r="E19" s="21"/>
      <c r="F19" s="21">
        <v>0.25</v>
      </c>
      <c r="G19" s="21"/>
      <c r="H19" s="21"/>
      <c r="I19" s="21">
        <v>1.5</v>
      </c>
      <c r="J19" s="21">
        <v>0.5</v>
      </c>
      <c r="K19" s="21"/>
      <c r="L19" s="21"/>
      <c r="M19" s="21"/>
      <c r="N19" s="21"/>
      <c r="O19" s="21"/>
      <c r="P19" s="5">
        <f t="shared" si="1"/>
        <v>3</v>
      </c>
    </row>
    <row r="20" spans="1:16" ht="20.25" customHeight="1" x14ac:dyDescent="0.2">
      <c r="A20" s="15" t="s">
        <v>39</v>
      </c>
      <c r="B20" s="14">
        <f t="shared" ref="B20:P20" si="2">SUM(B7:B19)</f>
        <v>7.75</v>
      </c>
      <c r="C20" s="14">
        <f t="shared" si="2"/>
        <v>7.75</v>
      </c>
      <c r="D20" s="14">
        <f t="shared" si="2"/>
        <v>5.75</v>
      </c>
      <c r="E20" s="14">
        <f t="shared" si="2"/>
        <v>8.25</v>
      </c>
      <c r="F20" s="14">
        <f t="shared" si="2"/>
        <v>10.5</v>
      </c>
      <c r="G20" s="14">
        <f t="shared" si="2"/>
        <v>0</v>
      </c>
      <c r="H20" s="14">
        <f t="shared" si="2"/>
        <v>0</v>
      </c>
      <c r="I20" s="14">
        <f t="shared" si="2"/>
        <v>12</v>
      </c>
      <c r="J20" s="14">
        <f t="shared" si="2"/>
        <v>7.5</v>
      </c>
      <c r="K20" s="14">
        <f t="shared" si="2"/>
        <v>6.5</v>
      </c>
      <c r="L20" s="14">
        <f t="shared" si="2"/>
        <v>8</v>
      </c>
      <c r="M20" s="14">
        <f t="shared" si="2"/>
        <v>6.75</v>
      </c>
      <c r="N20" s="14">
        <f t="shared" si="2"/>
        <v>0</v>
      </c>
      <c r="O20" s="14">
        <f t="shared" si="2"/>
        <v>0</v>
      </c>
      <c r="P20" s="14">
        <f t="shared" si="2"/>
        <v>80.75</v>
      </c>
    </row>
  </sheetData>
  <sortState ref="A7:P19">
    <sortCondition ref="A7:A19"/>
  </sortState>
  <conditionalFormatting sqref="B20:O20">
    <cfRule type="cellIs" dxfId="20" priority="3" operator="greaterThan">
      <formula>8</formula>
    </cfRule>
  </conditionalFormatting>
  <conditionalFormatting sqref="P7:P19">
    <cfRule type="cellIs" dxfId="19" priority="2" operator="greaterThan">
      <formula>80</formula>
    </cfRule>
  </conditionalFormatting>
  <conditionalFormatting sqref="P20">
    <cfRule type="cellIs" dxfId="18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4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7409" r:id="rId4" name="btnAddActivity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20"/>
  <sheetViews>
    <sheetView workbookViewId="0">
      <selection activeCell="I20" sqref="I2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INDEX(Refs!D:D,MATCH('FY13-24'!B1 &amp; 'FY13-24'!B2,Refs!K:K,0))</f>
        <v>41225</v>
      </c>
      <c r="C5" s="12">
        <f>B5+1</f>
        <v>41226</v>
      </c>
      <c r="D5" s="12">
        <f t="shared" ref="D5:O5" si="0">C5+1</f>
        <v>41227</v>
      </c>
      <c r="E5" s="12">
        <f t="shared" si="0"/>
        <v>41228</v>
      </c>
      <c r="F5" s="12">
        <f t="shared" si="0"/>
        <v>41229</v>
      </c>
      <c r="G5" s="12">
        <f t="shared" si="0"/>
        <v>41230</v>
      </c>
      <c r="H5" s="12">
        <f t="shared" si="0"/>
        <v>41231</v>
      </c>
      <c r="I5" s="12">
        <f t="shared" si="0"/>
        <v>41232</v>
      </c>
      <c r="J5" s="12">
        <f t="shared" si="0"/>
        <v>41233</v>
      </c>
      <c r="K5" s="12">
        <f t="shared" si="0"/>
        <v>41234</v>
      </c>
      <c r="L5" s="12">
        <f t="shared" si="0"/>
        <v>41235</v>
      </c>
      <c r="M5" s="12">
        <f t="shared" si="0"/>
        <v>41236</v>
      </c>
      <c r="N5" s="12">
        <f t="shared" si="0"/>
        <v>41237</v>
      </c>
      <c r="O5" s="12">
        <f t="shared" si="0"/>
        <v>41238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4</v>
      </c>
      <c r="C7" s="21">
        <v>1</v>
      </c>
      <c r="D7" s="21">
        <v>0.5</v>
      </c>
      <c r="E7" s="21">
        <v>1</v>
      </c>
      <c r="F7" s="21">
        <v>1</v>
      </c>
      <c r="G7" s="21"/>
      <c r="H7" s="21"/>
      <c r="I7" s="21">
        <v>1.25</v>
      </c>
      <c r="J7" s="21">
        <v>0.5</v>
      </c>
      <c r="K7" s="21"/>
      <c r="L7" s="21"/>
      <c r="M7" s="21"/>
      <c r="N7" s="21"/>
      <c r="O7" s="21"/>
      <c r="P7" s="5">
        <f t="shared" ref="P7:P19" si="1">SUM(B7:O7)</f>
        <v>9.25</v>
      </c>
    </row>
    <row r="8" spans="1:16" ht="20.25" customHeight="1" x14ac:dyDescent="0.25">
      <c r="A8" s="7" t="s">
        <v>29</v>
      </c>
      <c r="B8" s="21">
        <v>0.25</v>
      </c>
      <c r="C8" s="21">
        <v>1.5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 t="shared" si="1"/>
        <v>1.75</v>
      </c>
    </row>
    <row r="9" spans="1:16" ht="20.25" customHeight="1" x14ac:dyDescent="0.25">
      <c r="A9" s="7" t="s">
        <v>26</v>
      </c>
      <c r="B9" s="21"/>
      <c r="C9" s="21"/>
      <c r="D9" s="21">
        <v>1.25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 t="shared" si="1"/>
        <v>1.25</v>
      </c>
    </row>
    <row r="10" spans="1:16" ht="20.25" customHeight="1" x14ac:dyDescent="0.25">
      <c r="A10" s="7" t="s">
        <v>53</v>
      </c>
      <c r="B10" s="21"/>
      <c r="C10" s="21">
        <v>0.5</v>
      </c>
      <c r="D10" s="21"/>
      <c r="E10" s="21"/>
      <c r="F10" s="21"/>
      <c r="G10" s="21"/>
      <c r="H10" s="21"/>
      <c r="I10" s="21">
        <v>0.5</v>
      </c>
      <c r="J10" s="21"/>
      <c r="K10" s="21"/>
      <c r="L10" s="21"/>
      <c r="M10" s="21"/>
      <c r="N10" s="21"/>
      <c r="O10" s="21"/>
      <c r="P10" s="5">
        <f t="shared" si="1"/>
        <v>1</v>
      </c>
    </row>
    <row r="11" spans="1:16" ht="20.25" customHeight="1" x14ac:dyDescent="0.25">
      <c r="A11" s="7" t="s">
        <v>20</v>
      </c>
      <c r="B11" s="21">
        <v>0.25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0.25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4</v>
      </c>
    </row>
    <row r="13" spans="1:16" ht="20.25" customHeight="1" x14ac:dyDescent="0.25">
      <c r="A13" s="7" t="s">
        <v>19</v>
      </c>
      <c r="B13" s="21">
        <v>0.5</v>
      </c>
      <c r="C13" s="21">
        <v>1.75</v>
      </c>
      <c r="D13" s="21"/>
      <c r="E13" s="21"/>
      <c r="F13" s="21"/>
      <c r="G13" s="21"/>
      <c r="H13" s="21"/>
      <c r="I13" s="21">
        <v>1</v>
      </c>
      <c r="J13" s="21"/>
      <c r="K13" s="21"/>
      <c r="L13" s="21"/>
      <c r="M13" s="21"/>
      <c r="N13" s="21"/>
      <c r="O13" s="21"/>
      <c r="P13" s="5">
        <f t="shared" si="1"/>
        <v>3.25</v>
      </c>
    </row>
    <row r="14" spans="1:16" ht="20.25" customHeight="1" x14ac:dyDescent="0.25">
      <c r="A14" s="7" t="s">
        <v>54</v>
      </c>
      <c r="B14" s="21">
        <v>3.75</v>
      </c>
      <c r="C14" s="21">
        <v>1.75</v>
      </c>
      <c r="D14" s="21">
        <v>1.75</v>
      </c>
      <c r="E14" s="21">
        <v>3.25</v>
      </c>
      <c r="F14" s="21"/>
      <c r="G14" s="21"/>
      <c r="H14" s="21"/>
      <c r="I14" s="21">
        <v>3.5</v>
      </c>
      <c r="J14" s="21">
        <v>2</v>
      </c>
      <c r="K14" s="21"/>
      <c r="L14" s="21"/>
      <c r="M14" s="21"/>
      <c r="N14" s="21"/>
      <c r="O14" s="21"/>
      <c r="P14" s="5">
        <f t="shared" si="1"/>
        <v>16</v>
      </c>
    </row>
    <row r="15" spans="1:16" ht="20.25" customHeight="1" x14ac:dyDescent="0.25">
      <c r="A15" s="7" t="s">
        <v>30</v>
      </c>
      <c r="B15" s="21">
        <v>0.25</v>
      </c>
      <c r="C15" s="21">
        <v>1.75</v>
      </c>
      <c r="D15" s="21">
        <v>1.25</v>
      </c>
      <c r="E15" s="21">
        <v>1</v>
      </c>
      <c r="F15" s="21"/>
      <c r="G15" s="21"/>
      <c r="H15" s="21"/>
      <c r="I15" s="21">
        <v>0.5</v>
      </c>
      <c r="J15" s="21"/>
      <c r="K15" s="21"/>
      <c r="L15" s="21"/>
      <c r="M15" s="21"/>
      <c r="N15" s="21"/>
      <c r="O15" s="21"/>
      <c r="P15" s="5">
        <f t="shared" si="1"/>
        <v>4.75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>
        <v>5.5</v>
      </c>
      <c r="K16" s="21">
        <v>8</v>
      </c>
      <c r="L16" s="21">
        <v>8</v>
      </c>
      <c r="M16" s="21">
        <v>8</v>
      </c>
      <c r="N16" s="21"/>
      <c r="O16" s="21"/>
      <c r="P16" s="5">
        <f t="shared" si="1"/>
        <v>29.5</v>
      </c>
    </row>
    <row r="17" spans="1:16" ht="20.25" customHeight="1" x14ac:dyDescent="0.25">
      <c r="A17" s="7" t="s">
        <v>22</v>
      </c>
      <c r="B17" s="21"/>
      <c r="C17" s="21"/>
      <c r="D17" s="21">
        <v>2.25</v>
      </c>
      <c r="E17" s="21">
        <v>1.5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3.75</v>
      </c>
    </row>
    <row r="18" spans="1:16" ht="20.25" customHeight="1" x14ac:dyDescent="0.25">
      <c r="A18" s="7" t="s">
        <v>55</v>
      </c>
      <c r="B18" s="21"/>
      <c r="C18" s="21"/>
      <c r="D18" s="21"/>
      <c r="E18" s="21"/>
      <c r="F18" s="21">
        <v>2</v>
      </c>
      <c r="G18" s="21"/>
      <c r="H18" s="21"/>
      <c r="I18" s="21"/>
      <c r="J18" s="21"/>
      <c r="K18" s="21"/>
      <c r="L18" s="21"/>
      <c r="M18" s="21"/>
      <c r="N18" s="21"/>
      <c r="O18" s="21"/>
      <c r="P18" s="5">
        <f t="shared" si="1"/>
        <v>2</v>
      </c>
    </row>
    <row r="19" spans="1:16" ht="20.25" customHeight="1" x14ac:dyDescent="0.25">
      <c r="A19" s="7" t="s">
        <v>18</v>
      </c>
      <c r="B19" s="21">
        <v>0.5</v>
      </c>
      <c r="C19" s="21">
        <v>0.5</v>
      </c>
      <c r="D19" s="21">
        <v>0.5</v>
      </c>
      <c r="E19" s="21">
        <v>0.5</v>
      </c>
      <c r="F19" s="21"/>
      <c r="G19" s="21"/>
      <c r="H19" s="21"/>
      <c r="I19" s="21">
        <v>0.75</v>
      </c>
      <c r="J19" s="21">
        <v>0.5</v>
      </c>
      <c r="K19" s="21"/>
      <c r="L19" s="21"/>
      <c r="M19" s="21"/>
      <c r="N19" s="21"/>
      <c r="O19" s="21"/>
      <c r="P19" s="5">
        <f t="shared" si="1"/>
        <v>3.25</v>
      </c>
    </row>
    <row r="20" spans="1:16" ht="20.25" customHeight="1" x14ac:dyDescent="0.2">
      <c r="A20" s="15" t="s">
        <v>39</v>
      </c>
      <c r="B20" s="14">
        <f t="shared" ref="B20:P20" si="2">SUM(B7:B19)</f>
        <v>9.5</v>
      </c>
      <c r="C20" s="14">
        <f t="shared" si="2"/>
        <v>8.75</v>
      </c>
      <c r="D20" s="14">
        <f t="shared" si="2"/>
        <v>7.5</v>
      </c>
      <c r="E20" s="14">
        <f t="shared" si="2"/>
        <v>7.25</v>
      </c>
      <c r="F20" s="14">
        <f t="shared" si="2"/>
        <v>7</v>
      </c>
      <c r="G20" s="14">
        <f t="shared" si="2"/>
        <v>0</v>
      </c>
      <c r="H20" s="14">
        <f t="shared" si="2"/>
        <v>0</v>
      </c>
      <c r="I20" s="14">
        <f t="shared" si="2"/>
        <v>7.5</v>
      </c>
      <c r="J20" s="14">
        <f t="shared" si="2"/>
        <v>8.5</v>
      </c>
      <c r="K20" s="14">
        <f t="shared" si="2"/>
        <v>8</v>
      </c>
      <c r="L20" s="14">
        <f t="shared" si="2"/>
        <v>8</v>
      </c>
      <c r="M20" s="14">
        <f t="shared" si="2"/>
        <v>8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</sheetData>
  <sortState ref="A7:P19">
    <sortCondition ref="A7:A19"/>
  </sortState>
  <conditionalFormatting sqref="B20:O20">
    <cfRule type="cellIs" dxfId="17" priority="3" operator="greaterThan">
      <formula>8</formula>
    </cfRule>
  </conditionalFormatting>
  <conditionalFormatting sqref="P7:P19">
    <cfRule type="cellIs" dxfId="16" priority="2" operator="greaterThan">
      <formula>80</formula>
    </cfRule>
  </conditionalFormatting>
  <conditionalFormatting sqref="P20">
    <cfRule type="cellIs" dxfId="15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180975</xdr:rowOff>
              </to>
            </anchor>
          </controlPr>
        </control>
      </mc:Choice>
      <mc:Fallback>
        <control shapeId="15361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8"/>
  <sheetViews>
    <sheetView workbookViewId="0">
      <selection activeCell="F10" sqref="F1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/>
      <c r="H7" s="21"/>
      <c r="I7" s="21">
        <v>5.5</v>
      </c>
      <c r="J7" s="21">
        <v>2</v>
      </c>
      <c r="K7" s="21">
        <v>2</v>
      </c>
      <c r="L7" s="21">
        <v>0.75</v>
      </c>
      <c r="M7" s="21">
        <v>2.75</v>
      </c>
      <c r="N7" s="21"/>
      <c r="O7" s="21"/>
      <c r="P7" s="5">
        <f t="shared" ref="P7:P17" si="1">SUM(B7:O7)</f>
        <v>13</v>
      </c>
    </row>
    <row r="8" spans="1:16" ht="20.25" customHeight="1" x14ac:dyDescent="0.25">
      <c r="A8" s="7" t="s">
        <v>29</v>
      </c>
      <c r="B8" s="21"/>
      <c r="C8" s="21"/>
      <c r="D8" s="21"/>
      <c r="E8" s="21"/>
      <c r="F8" s="21"/>
      <c r="G8" s="21"/>
      <c r="H8" s="21"/>
      <c r="I8" s="21"/>
      <c r="J8" s="21">
        <v>1</v>
      </c>
      <c r="K8" s="21">
        <v>0.25</v>
      </c>
      <c r="L8" s="21"/>
      <c r="M8" s="21">
        <v>0.5</v>
      </c>
      <c r="N8" s="21"/>
      <c r="O8" s="21"/>
      <c r="P8" s="5">
        <f t="shared" si="1"/>
        <v>1.75</v>
      </c>
    </row>
    <row r="9" spans="1:16" ht="20.25" customHeight="1" x14ac:dyDescent="0.25">
      <c r="A9" s="7" t="s">
        <v>24</v>
      </c>
      <c r="B9" s="21">
        <v>8.5</v>
      </c>
      <c r="C9" s="21">
        <v>9.75</v>
      </c>
      <c r="D9" s="21">
        <v>5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 t="shared" si="1"/>
        <v>23.25</v>
      </c>
    </row>
    <row r="10" spans="1:16" ht="20.25" customHeight="1" x14ac:dyDescent="0.25">
      <c r="A10" s="7" t="s">
        <v>26</v>
      </c>
      <c r="B10" s="21"/>
      <c r="C10" s="21"/>
      <c r="D10" s="21"/>
      <c r="E10" s="21"/>
      <c r="F10" s="21"/>
      <c r="G10" s="21"/>
      <c r="H10" s="21"/>
      <c r="I10" s="21"/>
      <c r="J10" s="21"/>
      <c r="K10" s="21">
        <v>1.25</v>
      </c>
      <c r="L10" s="21"/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53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>
        <v>0.75</v>
      </c>
      <c r="M11" s="21">
        <v>0.25</v>
      </c>
      <c r="N11" s="21"/>
      <c r="O11" s="21"/>
      <c r="P11" s="5">
        <f t="shared" si="1"/>
        <v>1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>
        <v>1.5</v>
      </c>
      <c r="L12" s="21"/>
      <c r="M12" s="21"/>
      <c r="N12" s="21"/>
      <c r="O12" s="21"/>
      <c r="P12" s="5">
        <f t="shared" si="1"/>
        <v>1.5</v>
      </c>
    </row>
    <row r="13" spans="1:16" ht="20.25" customHeight="1" x14ac:dyDescent="0.25">
      <c r="A13" s="7" t="s">
        <v>54</v>
      </c>
      <c r="B13" s="21"/>
      <c r="C13" s="21"/>
      <c r="D13" s="21"/>
      <c r="E13" s="21"/>
      <c r="F13" s="21"/>
      <c r="G13" s="21"/>
      <c r="H13" s="21"/>
      <c r="I13" s="21">
        <v>1</v>
      </c>
      <c r="J13" s="21">
        <v>1</v>
      </c>
      <c r="K13" s="21">
        <v>1.75</v>
      </c>
      <c r="L13" s="21">
        <v>2.25</v>
      </c>
      <c r="M13" s="21">
        <v>2</v>
      </c>
      <c r="N13" s="21"/>
      <c r="O13" s="21"/>
      <c r="P13" s="5">
        <f t="shared" si="1"/>
        <v>8</v>
      </c>
    </row>
    <row r="14" spans="1:16" ht="20.25" customHeight="1" x14ac:dyDescent="0.25">
      <c r="A14" s="7" t="s">
        <v>30</v>
      </c>
      <c r="B14" s="21"/>
      <c r="C14" s="21"/>
      <c r="D14" s="21"/>
      <c r="E14" s="21"/>
      <c r="F14" s="21"/>
      <c r="G14" s="21"/>
      <c r="H14" s="21"/>
      <c r="I14" s="21">
        <v>1.75</v>
      </c>
      <c r="J14" s="21">
        <v>3</v>
      </c>
      <c r="K14" s="21"/>
      <c r="L14" s="21">
        <v>4.5</v>
      </c>
      <c r="M14" s="21">
        <v>1.25</v>
      </c>
      <c r="N14" s="21"/>
      <c r="O14" s="21"/>
      <c r="P14" s="5">
        <f t="shared" si="1"/>
        <v>10.5</v>
      </c>
    </row>
    <row r="15" spans="1:16" ht="20.25" customHeight="1" x14ac:dyDescent="0.25">
      <c r="A15" s="7" t="s">
        <v>28</v>
      </c>
      <c r="B15" s="21"/>
      <c r="C15" s="21"/>
      <c r="D15" s="21"/>
      <c r="E15" s="21">
        <v>7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5">
        <f t="shared" si="1"/>
        <v>7</v>
      </c>
    </row>
    <row r="16" spans="1:16" ht="20.25" customHeight="1" x14ac:dyDescent="0.25">
      <c r="A16" s="7" t="s">
        <v>55</v>
      </c>
      <c r="B16" s="21"/>
      <c r="C16" s="21"/>
      <c r="D16" s="21"/>
      <c r="E16" s="21"/>
      <c r="F16" s="21"/>
      <c r="G16" s="21">
        <v>9.75</v>
      </c>
      <c r="H16" s="21"/>
      <c r="I16" s="21"/>
      <c r="J16" s="21"/>
      <c r="K16" s="21">
        <v>0.5</v>
      </c>
      <c r="L16" s="21"/>
      <c r="M16" s="21"/>
      <c r="N16" s="21"/>
      <c r="O16" s="21"/>
      <c r="P16" s="5">
        <f t="shared" si="1"/>
        <v>10.25</v>
      </c>
    </row>
    <row r="17" spans="1:16" ht="20.25" customHeight="1" x14ac:dyDescent="0.25">
      <c r="A17" s="7" t="s">
        <v>18</v>
      </c>
      <c r="B17" s="21"/>
      <c r="C17" s="21"/>
      <c r="D17" s="21"/>
      <c r="E17" s="21"/>
      <c r="F17" s="21"/>
      <c r="G17" s="21"/>
      <c r="H17" s="21"/>
      <c r="I17" s="21"/>
      <c r="J17" s="21">
        <v>0.75</v>
      </c>
      <c r="K17" s="21">
        <v>0.25</v>
      </c>
      <c r="L17" s="21">
        <v>0.75</v>
      </c>
      <c r="M17" s="21">
        <v>0.75</v>
      </c>
      <c r="N17" s="21"/>
      <c r="O17" s="21"/>
      <c r="P17" s="5">
        <f t="shared" si="1"/>
        <v>2.5</v>
      </c>
    </row>
    <row r="18" spans="1:16" ht="20.25" customHeight="1" x14ac:dyDescent="0.2">
      <c r="A18" s="15" t="s">
        <v>39</v>
      </c>
      <c r="B18" s="14">
        <f t="shared" ref="B18:P18" si="2">SUM(B7:B17)</f>
        <v>8.5</v>
      </c>
      <c r="C18" s="14">
        <f t="shared" si="2"/>
        <v>9.75</v>
      </c>
      <c r="D18" s="14">
        <f t="shared" si="2"/>
        <v>5</v>
      </c>
      <c r="E18" s="14">
        <f t="shared" si="2"/>
        <v>7</v>
      </c>
      <c r="F18" s="14">
        <f t="shared" si="2"/>
        <v>0</v>
      </c>
      <c r="G18" s="14">
        <f t="shared" si="2"/>
        <v>9.75</v>
      </c>
      <c r="H18" s="14">
        <f t="shared" si="2"/>
        <v>0</v>
      </c>
      <c r="I18" s="14">
        <f t="shared" si="2"/>
        <v>8.25</v>
      </c>
      <c r="J18" s="14">
        <f t="shared" si="2"/>
        <v>7.75</v>
      </c>
      <c r="K18" s="14">
        <f t="shared" si="2"/>
        <v>7.5</v>
      </c>
      <c r="L18" s="14">
        <f t="shared" si="2"/>
        <v>9</v>
      </c>
      <c r="M18" s="14">
        <f t="shared" si="2"/>
        <v>7.5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</sheetData>
  <sortState ref="A7:P17">
    <sortCondition ref="A7:A17"/>
  </sortState>
  <conditionalFormatting sqref="B18:O18">
    <cfRule type="cellIs" dxfId="14" priority="3" operator="greaterThan">
      <formula>8</formula>
    </cfRule>
  </conditionalFormatting>
  <conditionalFormatting sqref="P7:P17">
    <cfRule type="cellIs" dxfId="13" priority="2" operator="greaterThan">
      <formula>80</formula>
    </cfRule>
  </conditionalFormatting>
  <conditionalFormatting sqref="P18">
    <cfRule type="cellIs" dxfId="12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3313" r:id="rId4" name="btnAddActivity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21"/>
  <sheetViews>
    <sheetView workbookViewId="0">
      <selection activeCell="M3" sqref="M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2.75</v>
      </c>
      <c r="C7" s="21"/>
      <c r="D7" s="21"/>
      <c r="E7" s="21"/>
      <c r="F7" s="21">
        <v>2</v>
      </c>
      <c r="G7" s="21"/>
      <c r="H7" s="21"/>
      <c r="I7" s="21">
        <v>2.25</v>
      </c>
      <c r="J7" s="21">
        <v>2</v>
      </c>
      <c r="K7" s="21">
        <v>1.75</v>
      </c>
      <c r="L7" s="21">
        <v>1</v>
      </c>
      <c r="M7" s="21">
        <v>1.5</v>
      </c>
      <c r="N7" s="21"/>
      <c r="O7" s="21"/>
      <c r="P7" s="5">
        <f t="shared" ref="P7:P20" si="1">SUM(B7:O7)</f>
        <v>13.25</v>
      </c>
    </row>
    <row r="8" spans="1:16" ht="20.25" customHeight="1" x14ac:dyDescent="0.25">
      <c r="A8" s="7" t="s">
        <v>29</v>
      </c>
      <c r="B8" s="21">
        <v>1.75</v>
      </c>
      <c r="C8" s="21"/>
      <c r="D8" s="21"/>
      <c r="E8" s="21"/>
      <c r="F8" s="21"/>
      <c r="G8" s="21"/>
      <c r="H8" s="21"/>
      <c r="I8" s="21">
        <v>0.75</v>
      </c>
      <c r="J8" s="21">
        <v>0.75</v>
      </c>
      <c r="K8" s="21">
        <v>1.5</v>
      </c>
      <c r="L8" s="21"/>
      <c r="M8" s="21">
        <v>3</v>
      </c>
      <c r="N8" s="21"/>
      <c r="O8" s="21"/>
      <c r="P8" s="5">
        <f t="shared" si="1"/>
        <v>7.75</v>
      </c>
    </row>
    <row r="9" spans="1:16" ht="20.25" customHeight="1" x14ac:dyDescent="0.25">
      <c r="A9" s="7" t="s">
        <v>26</v>
      </c>
      <c r="B9" s="21"/>
      <c r="C9" s="21"/>
      <c r="D9" s="21"/>
      <c r="E9" s="21"/>
      <c r="F9" s="21"/>
      <c r="G9" s="21"/>
      <c r="H9" s="21"/>
      <c r="I9" s="21"/>
      <c r="J9" s="21">
        <v>4</v>
      </c>
      <c r="K9" s="21">
        <v>5.25</v>
      </c>
      <c r="L9" s="21"/>
      <c r="M9" s="21"/>
      <c r="N9" s="21"/>
      <c r="O9" s="21"/>
      <c r="P9" s="5">
        <f t="shared" si="1"/>
        <v>9.25</v>
      </c>
    </row>
    <row r="10" spans="1:16" ht="20.25" customHeight="1" x14ac:dyDescent="0.25">
      <c r="A10" s="7" t="s">
        <v>27</v>
      </c>
      <c r="B10" s="21"/>
      <c r="C10" s="21"/>
      <c r="D10" s="21"/>
      <c r="E10" s="21"/>
      <c r="F10" s="21"/>
      <c r="G10" s="21"/>
      <c r="H10" s="21"/>
      <c r="I10" s="21">
        <v>1</v>
      </c>
      <c r="J10" s="21"/>
      <c r="K10" s="21"/>
      <c r="L10" s="21">
        <v>0.25</v>
      </c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20</v>
      </c>
      <c r="B11" s="21"/>
      <c r="C11" s="21"/>
      <c r="D11" s="21"/>
      <c r="E11" s="21"/>
      <c r="F11" s="21">
        <v>3.5</v>
      </c>
      <c r="G11" s="21"/>
      <c r="H11" s="21"/>
      <c r="I11" s="21"/>
      <c r="J11" s="21">
        <v>0.5</v>
      </c>
      <c r="K11" s="21"/>
      <c r="L11" s="21"/>
      <c r="M11" s="21"/>
      <c r="N11" s="21"/>
      <c r="O11" s="21"/>
      <c r="P11" s="5">
        <f t="shared" si="1"/>
        <v>4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>
        <v>1</v>
      </c>
      <c r="J12" s="21"/>
      <c r="K12" s="21"/>
      <c r="L12" s="21">
        <v>2.5</v>
      </c>
      <c r="M12" s="21"/>
      <c r="N12" s="21"/>
      <c r="O12" s="21"/>
      <c r="P12" s="5">
        <f t="shared" si="1"/>
        <v>3.5</v>
      </c>
    </row>
    <row r="13" spans="1:16" ht="20.25" customHeight="1" x14ac:dyDescent="0.25">
      <c r="A13" s="7" t="s">
        <v>54</v>
      </c>
      <c r="B13" s="21">
        <v>0.25</v>
      </c>
      <c r="C13" s="21"/>
      <c r="D13" s="21"/>
      <c r="E13" s="21"/>
      <c r="F13" s="21"/>
      <c r="G13" s="21"/>
      <c r="H13" s="21"/>
      <c r="I13" s="21">
        <v>1</v>
      </c>
      <c r="J13" s="21">
        <v>0.25</v>
      </c>
      <c r="K13" s="21"/>
      <c r="L13" s="21"/>
      <c r="M13" s="21"/>
      <c r="N13" s="21"/>
      <c r="O13" s="21"/>
      <c r="P13" s="5">
        <f t="shared" si="1"/>
        <v>1.5</v>
      </c>
    </row>
    <row r="14" spans="1:16" ht="20.25" customHeight="1" x14ac:dyDescent="0.25">
      <c r="A14" s="7" t="s">
        <v>43</v>
      </c>
      <c r="B14" s="21">
        <v>1.25</v>
      </c>
      <c r="C14" s="21"/>
      <c r="D14" s="21"/>
      <c r="E14" s="21"/>
      <c r="F14" s="21"/>
      <c r="G14" s="21"/>
      <c r="H14" s="21"/>
      <c r="I14" s="21">
        <v>2.25</v>
      </c>
      <c r="J14" s="21"/>
      <c r="K14" s="21"/>
      <c r="L14" s="21">
        <v>3.75</v>
      </c>
      <c r="M14" s="21"/>
      <c r="N14" s="21"/>
      <c r="O14" s="21"/>
      <c r="P14" s="5">
        <f t="shared" si="1"/>
        <v>7.25</v>
      </c>
    </row>
    <row r="15" spans="1:16" ht="20.25" customHeight="1" x14ac:dyDescent="0.25">
      <c r="A15" s="7" t="s">
        <v>30</v>
      </c>
      <c r="B15" s="21">
        <v>2</v>
      </c>
      <c r="C15" s="21"/>
      <c r="D15" s="21"/>
      <c r="E15" s="21"/>
      <c r="F15" s="21"/>
      <c r="G15" s="21"/>
      <c r="H15" s="21"/>
      <c r="I15" s="21">
        <v>0.25</v>
      </c>
      <c r="J15" s="21">
        <v>0.5</v>
      </c>
      <c r="K15" s="21"/>
      <c r="L15" s="21">
        <v>0.75</v>
      </c>
      <c r="M15" s="21"/>
      <c r="N15" s="21"/>
      <c r="O15" s="21"/>
      <c r="P15" s="5">
        <f t="shared" si="1"/>
        <v>3.5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3.75</v>
      </c>
      <c r="G16" s="21"/>
      <c r="H16" s="21"/>
      <c r="I16" s="21"/>
      <c r="J16" s="21"/>
      <c r="K16" s="21"/>
      <c r="L16" s="21"/>
      <c r="M16" s="21"/>
      <c r="N16" s="21"/>
      <c r="O16" s="21"/>
      <c r="P16" s="5">
        <f t="shared" si="1"/>
        <v>3.75</v>
      </c>
    </row>
    <row r="17" spans="1:16" ht="20.25" customHeight="1" x14ac:dyDescent="0.25">
      <c r="A17" s="7" t="s">
        <v>22</v>
      </c>
      <c r="B17" s="21"/>
      <c r="C17" s="21">
        <v>7.25</v>
      </c>
      <c r="D17" s="21">
        <v>6</v>
      </c>
      <c r="E17" s="21">
        <v>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18.25</v>
      </c>
    </row>
    <row r="18" spans="1:16" ht="20.25" customHeight="1" x14ac:dyDescent="0.25">
      <c r="A18" s="7" t="s">
        <v>23</v>
      </c>
      <c r="B18" s="21"/>
      <c r="C18" s="21"/>
      <c r="D18" s="21"/>
      <c r="E18" s="21"/>
      <c r="F18" s="21"/>
      <c r="G18" s="21"/>
      <c r="H18" s="21"/>
      <c r="I18" s="21"/>
      <c r="J18" s="21">
        <v>2</v>
      </c>
      <c r="K18" s="21"/>
      <c r="L18" s="21"/>
      <c r="M18" s="21"/>
      <c r="N18" s="21"/>
      <c r="O18" s="21"/>
      <c r="P18" s="5">
        <f t="shared" si="1"/>
        <v>2</v>
      </c>
    </row>
    <row r="19" spans="1:16" ht="20.25" customHeight="1" x14ac:dyDescent="0.25">
      <c r="A19" s="7" t="s">
        <v>55</v>
      </c>
      <c r="B19" s="21"/>
      <c r="C19" s="21">
        <v>1.5</v>
      </c>
      <c r="D19" s="21">
        <v>1.5</v>
      </c>
      <c r="E19" s="21">
        <v>1.5</v>
      </c>
      <c r="F19" s="21"/>
      <c r="G19" s="21"/>
      <c r="H19" s="21"/>
      <c r="I19" s="21">
        <v>2.5</v>
      </c>
      <c r="J19" s="21"/>
      <c r="K19" s="21"/>
      <c r="L19" s="21">
        <v>2.25</v>
      </c>
      <c r="M19" s="21"/>
      <c r="N19" s="21"/>
      <c r="O19" s="21">
        <v>4</v>
      </c>
      <c r="P19" s="5">
        <f t="shared" si="1"/>
        <v>13.25</v>
      </c>
    </row>
    <row r="20" spans="1:16" ht="20.25" customHeight="1" x14ac:dyDescent="0.25">
      <c r="A20" s="7" t="s">
        <v>18</v>
      </c>
      <c r="B20" s="21"/>
      <c r="C20" s="21"/>
      <c r="D20" s="21"/>
      <c r="E20" s="21"/>
      <c r="F20" s="21"/>
      <c r="G20" s="21"/>
      <c r="H20" s="21"/>
      <c r="I20" s="21">
        <v>0.5</v>
      </c>
      <c r="J20" s="21">
        <v>2</v>
      </c>
      <c r="K20" s="21">
        <v>0.25</v>
      </c>
      <c r="L20" s="21"/>
      <c r="M20" s="21"/>
      <c r="N20" s="21"/>
      <c r="O20" s="21"/>
      <c r="P20" s="5">
        <f t="shared" si="1"/>
        <v>2.75</v>
      </c>
    </row>
    <row r="21" spans="1:16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8.75</v>
      </c>
      <c r="D21" s="14">
        <f t="shared" si="2"/>
        <v>7.5</v>
      </c>
      <c r="E21" s="14">
        <f t="shared" si="2"/>
        <v>6.5</v>
      </c>
      <c r="F21" s="14">
        <f t="shared" si="2"/>
        <v>9.25</v>
      </c>
      <c r="G21" s="14">
        <f t="shared" si="2"/>
        <v>0</v>
      </c>
      <c r="H21" s="14">
        <f t="shared" si="2"/>
        <v>0</v>
      </c>
      <c r="I21" s="14">
        <f t="shared" si="2"/>
        <v>11.5</v>
      </c>
      <c r="J21" s="14">
        <f t="shared" si="2"/>
        <v>12</v>
      </c>
      <c r="K21" s="14">
        <f t="shared" si="2"/>
        <v>8.75</v>
      </c>
      <c r="L21" s="14">
        <f t="shared" si="2"/>
        <v>10.5</v>
      </c>
      <c r="M21" s="14">
        <f t="shared" si="2"/>
        <v>4.5</v>
      </c>
      <c r="N21" s="14">
        <f t="shared" si="2"/>
        <v>0</v>
      </c>
      <c r="O21" s="14">
        <f t="shared" si="2"/>
        <v>4</v>
      </c>
      <c r="P21" s="14">
        <f t="shared" si="2"/>
        <v>91.25</v>
      </c>
    </row>
  </sheetData>
  <sortState ref="A7:P20">
    <sortCondition ref="A7:A20"/>
  </sortState>
  <conditionalFormatting sqref="B21:O21">
    <cfRule type="cellIs" dxfId="11" priority="3" operator="greaterThan">
      <formula>8</formula>
    </cfRule>
  </conditionalFormatting>
  <conditionalFormatting sqref="P7:P20">
    <cfRule type="cellIs" dxfId="10" priority="2" operator="greaterThan">
      <formula>80</formula>
    </cfRule>
  </conditionalFormatting>
  <conditionalFormatting sqref="P21">
    <cfRule type="cellIs" dxfId="9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265" r:id="rId4" name="btnAddActivity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1"/>
  <sheetViews>
    <sheetView topLeftCell="A4" workbookViewId="0">
      <selection activeCell="M17" sqref="M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3.75</v>
      </c>
      <c r="C7" s="21">
        <v>3.25</v>
      </c>
      <c r="D7" s="21">
        <v>2</v>
      </c>
      <c r="E7" s="21">
        <v>3.25</v>
      </c>
      <c r="F7" s="21">
        <v>2.5</v>
      </c>
      <c r="G7" s="21"/>
      <c r="H7" s="21"/>
      <c r="I7" s="21">
        <v>2.5</v>
      </c>
      <c r="J7" s="21">
        <v>1.25</v>
      </c>
      <c r="K7" s="21">
        <v>3</v>
      </c>
      <c r="L7" s="21">
        <v>1</v>
      </c>
      <c r="M7" s="21"/>
      <c r="N7" s="21"/>
      <c r="O7" s="21"/>
      <c r="P7" s="5">
        <f t="shared" ref="P7:P20" si="1">SUM(B7:O7)</f>
        <v>22.5</v>
      </c>
    </row>
    <row r="8" spans="1:16" ht="20.25" customHeight="1" x14ac:dyDescent="0.25">
      <c r="A8" s="7" t="s">
        <v>29</v>
      </c>
      <c r="B8" s="21"/>
      <c r="C8" s="21">
        <v>0.75</v>
      </c>
      <c r="D8" s="21">
        <v>0.5</v>
      </c>
      <c r="E8" s="21"/>
      <c r="F8" s="21"/>
      <c r="G8" s="21"/>
      <c r="H8" s="21"/>
      <c r="I8" s="21">
        <v>0.5</v>
      </c>
      <c r="J8" s="21">
        <v>0.25</v>
      </c>
      <c r="K8" s="21"/>
      <c r="L8" s="21"/>
      <c r="M8" s="21"/>
      <c r="N8" s="21"/>
      <c r="O8" s="21"/>
      <c r="P8" s="5">
        <f t="shared" si="1"/>
        <v>2</v>
      </c>
    </row>
    <row r="9" spans="1:16" ht="20.25" customHeight="1" x14ac:dyDescent="0.25">
      <c r="A9" s="7" t="s">
        <v>26</v>
      </c>
      <c r="B9" s="21"/>
      <c r="C9" s="21"/>
      <c r="D9" s="21">
        <v>2.5</v>
      </c>
      <c r="E9" s="21"/>
      <c r="F9" s="21"/>
      <c r="G9" s="21"/>
      <c r="H9" s="21"/>
      <c r="I9" s="21"/>
      <c r="J9" s="21"/>
      <c r="K9" s="21"/>
      <c r="L9" s="21">
        <v>0.5</v>
      </c>
      <c r="M9" s="21"/>
      <c r="N9" s="21"/>
      <c r="O9" s="21"/>
      <c r="P9" s="5">
        <f t="shared" si="1"/>
        <v>3</v>
      </c>
    </row>
    <row r="10" spans="1:16" ht="20.25" customHeight="1" x14ac:dyDescent="0.25">
      <c r="A10" s="7" t="s">
        <v>27</v>
      </c>
      <c r="B10" s="21">
        <v>0.5</v>
      </c>
      <c r="C10" s="21">
        <v>1</v>
      </c>
      <c r="D10" s="21"/>
      <c r="E10" s="21">
        <v>1.5</v>
      </c>
      <c r="F10" s="21">
        <v>1.5</v>
      </c>
      <c r="G10" s="21"/>
      <c r="H10" s="21"/>
      <c r="I10" s="21">
        <v>0.75</v>
      </c>
      <c r="J10" s="21"/>
      <c r="K10" s="21">
        <v>2.25</v>
      </c>
      <c r="L10" s="21">
        <v>0.75</v>
      </c>
      <c r="M10" s="21"/>
      <c r="N10" s="21"/>
      <c r="O10" s="21"/>
      <c r="P10" s="5">
        <f t="shared" si="1"/>
        <v>8.25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0.75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0</v>
      </c>
    </row>
    <row r="13" spans="1:16" ht="20.25" customHeight="1" x14ac:dyDescent="0.25">
      <c r="A13" s="7" t="s">
        <v>54</v>
      </c>
      <c r="B13" s="21"/>
      <c r="C13" s="21"/>
      <c r="D13" s="21">
        <v>1</v>
      </c>
      <c r="E13" s="21">
        <v>1</v>
      </c>
      <c r="F13" s="21"/>
      <c r="G13" s="21"/>
      <c r="H13" s="21"/>
      <c r="I13" s="21"/>
      <c r="J13" s="21">
        <v>1.75</v>
      </c>
      <c r="K13" s="21">
        <v>1.5</v>
      </c>
      <c r="L13" s="21">
        <v>0.25</v>
      </c>
      <c r="M13" s="21"/>
      <c r="N13" s="21"/>
      <c r="O13" s="21"/>
      <c r="P13" s="5">
        <f t="shared" si="1"/>
        <v>5.5</v>
      </c>
    </row>
    <row r="14" spans="1:16" ht="20.25" customHeight="1" x14ac:dyDescent="0.25">
      <c r="A14" s="7" t="s">
        <v>43</v>
      </c>
      <c r="B14" s="21"/>
      <c r="C14" s="21">
        <v>3.25</v>
      </c>
      <c r="D14" s="21"/>
      <c r="E14" s="21"/>
      <c r="F14" s="21"/>
      <c r="G14" s="21"/>
      <c r="H14" s="21">
        <v>3.25</v>
      </c>
      <c r="I14" s="21"/>
      <c r="J14" s="21"/>
      <c r="K14" s="21"/>
      <c r="L14" s="21"/>
      <c r="M14" s="21"/>
      <c r="N14" s="21"/>
      <c r="O14" s="21"/>
      <c r="P14" s="5">
        <f t="shared" si="1"/>
        <v>6.5</v>
      </c>
    </row>
    <row r="15" spans="1:16" ht="20.25" customHeight="1" x14ac:dyDescent="0.25">
      <c r="A15" s="7" t="s">
        <v>30</v>
      </c>
      <c r="B15" s="21">
        <v>3</v>
      </c>
      <c r="C15" s="21">
        <v>1</v>
      </c>
      <c r="D15" s="21"/>
      <c r="E15" s="21">
        <v>0.5</v>
      </c>
      <c r="F15" s="21"/>
      <c r="G15" s="21"/>
      <c r="H15" s="21"/>
      <c r="I15" s="21">
        <v>0.5</v>
      </c>
      <c r="J15" s="21">
        <v>2.5</v>
      </c>
      <c r="K15" s="21">
        <v>0.75</v>
      </c>
      <c r="L15" s="21">
        <v>0.25</v>
      </c>
      <c r="M15" s="21"/>
      <c r="N15" s="21"/>
      <c r="O15" s="21"/>
      <c r="P15" s="5">
        <f t="shared" si="1"/>
        <v>8.5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>
        <v>2.25</v>
      </c>
      <c r="M16" s="21">
        <v>8</v>
      </c>
      <c r="N16" s="21"/>
      <c r="O16" s="21"/>
      <c r="P16" s="5">
        <f t="shared" si="1"/>
        <v>10.25</v>
      </c>
    </row>
    <row r="17" spans="1:16" ht="20.25" customHeight="1" x14ac:dyDescent="0.25">
      <c r="A17" s="7" t="s">
        <v>22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0</v>
      </c>
    </row>
    <row r="18" spans="1:16" ht="20.25" customHeight="1" x14ac:dyDescent="0.25">
      <c r="A18" s="7" t="s">
        <v>23</v>
      </c>
      <c r="B18" s="21"/>
      <c r="C18" s="21"/>
      <c r="D18" s="21"/>
      <c r="E18" s="21"/>
      <c r="F18" s="21"/>
      <c r="G18" s="21">
        <v>8.25</v>
      </c>
      <c r="H18" s="21"/>
      <c r="I18" s="21"/>
      <c r="J18" s="21">
        <v>3</v>
      </c>
      <c r="K18" s="21"/>
      <c r="L18" s="21"/>
      <c r="M18" s="21"/>
      <c r="N18" s="21"/>
      <c r="O18" s="21"/>
      <c r="P18" s="5">
        <f t="shared" si="1"/>
        <v>11.25</v>
      </c>
    </row>
    <row r="19" spans="1:16" ht="20.25" customHeight="1" x14ac:dyDescent="0.25">
      <c r="A19" s="7" t="s">
        <v>25</v>
      </c>
      <c r="B19" s="21"/>
      <c r="C19" s="21">
        <v>0.25</v>
      </c>
      <c r="D19" s="21"/>
      <c r="E19" s="21">
        <v>0.5</v>
      </c>
      <c r="F19" s="21"/>
      <c r="G19" s="21"/>
      <c r="H19" s="21"/>
      <c r="I19" s="21"/>
      <c r="J19" s="21">
        <v>1</v>
      </c>
      <c r="K19" s="21">
        <v>0.75</v>
      </c>
      <c r="L19" s="21">
        <v>0.75</v>
      </c>
      <c r="M19" s="21"/>
      <c r="N19" s="21"/>
      <c r="O19" s="21"/>
      <c r="P19" s="5">
        <f t="shared" si="1"/>
        <v>3.25</v>
      </c>
    </row>
    <row r="20" spans="1:16" ht="20.25" customHeight="1" x14ac:dyDescent="0.25">
      <c r="A20" s="7" t="s">
        <v>18</v>
      </c>
      <c r="B20" s="21">
        <v>0.25</v>
      </c>
      <c r="C20" s="21">
        <v>0.25</v>
      </c>
      <c r="D20" s="21">
        <v>0.25</v>
      </c>
      <c r="E20" s="21">
        <v>0.25</v>
      </c>
      <c r="F20" s="21">
        <v>1.75</v>
      </c>
      <c r="G20" s="21"/>
      <c r="H20" s="21"/>
      <c r="I20" s="21">
        <v>2.75</v>
      </c>
      <c r="J20" s="21">
        <v>1.25</v>
      </c>
      <c r="K20" s="21"/>
      <c r="L20" s="21"/>
      <c r="M20" s="21"/>
      <c r="N20" s="21"/>
      <c r="O20" s="21"/>
      <c r="P20" s="5">
        <f t="shared" si="1"/>
        <v>6.75</v>
      </c>
    </row>
    <row r="21" spans="1:16" ht="20.25" customHeight="1" x14ac:dyDescent="0.2">
      <c r="A21" s="15" t="s">
        <v>39</v>
      </c>
      <c r="B21" s="14">
        <f t="shared" ref="B21:P21" si="2">SUM(B7:B20)</f>
        <v>7.5</v>
      </c>
      <c r="C21" s="14">
        <f t="shared" si="2"/>
        <v>10.5</v>
      </c>
      <c r="D21" s="14">
        <f t="shared" si="2"/>
        <v>6.25</v>
      </c>
      <c r="E21" s="14">
        <f t="shared" si="2"/>
        <v>7</v>
      </c>
      <c r="F21" s="14">
        <f t="shared" si="2"/>
        <v>5.75</v>
      </c>
      <c r="G21" s="14">
        <f t="shared" si="2"/>
        <v>8.25</v>
      </c>
      <c r="H21" s="14">
        <f t="shared" si="2"/>
        <v>3.25</v>
      </c>
      <c r="I21" s="14">
        <f t="shared" si="2"/>
        <v>7</v>
      </c>
      <c r="J21" s="14">
        <f t="shared" si="2"/>
        <v>11</v>
      </c>
      <c r="K21" s="14">
        <f t="shared" si="2"/>
        <v>8.25</v>
      </c>
      <c r="L21" s="14">
        <f t="shared" si="2"/>
        <v>5.75</v>
      </c>
      <c r="M21" s="14">
        <f t="shared" si="2"/>
        <v>8</v>
      </c>
      <c r="N21" s="14">
        <f t="shared" si="2"/>
        <v>0</v>
      </c>
      <c r="O21" s="14">
        <f t="shared" si="2"/>
        <v>0</v>
      </c>
      <c r="P21" s="14">
        <f t="shared" si="2"/>
        <v>88.5</v>
      </c>
    </row>
  </sheetData>
  <sortState ref="A7:P20">
    <sortCondition ref="A7:A20"/>
  </sortState>
  <conditionalFormatting sqref="B21:O21">
    <cfRule type="cellIs" dxfId="8" priority="3" operator="greaterThan">
      <formula>8</formula>
    </cfRule>
  </conditionalFormatting>
  <conditionalFormatting sqref="P7:P20">
    <cfRule type="cellIs" dxfId="7" priority="2" operator="greaterThan">
      <formula>80</formula>
    </cfRule>
  </conditionalFormatting>
  <conditionalFormatting sqref="P21">
    <cfRule type="cellIs" dxfId="6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20"/>
  <sheetViews>
    <sheetView workbookViewId="0">
      <selection activeCell="E20" sqref="E2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3.25</v>
      </c>
      <c r="C7" s="21">
        <v>1.75</v>
      </c>
      <c r="D7" s="21">
        <v>1.25</v>
      </c>
      <c r="E7" s="21">
        <v>1.5</v>
      </c>
      <c r="F7" s="21">
        <v>1.75</v>
      </c>
      <c r="G7" s="21"/>
      <c r="H7" s="21"/>
      <c r="I7" s="21">
        <v>3</v>
      </c>
      <c r="J7" s="21">
        <v>1.75</v>
      </c>
      <c r="K7" s="21">
        <v>2.25</v>
      </c>
      <c r="L7" s="21">
        <v>3.75</v>
      </c>
      <c r="M7" s="21"/>
      <c r="N7" s="21"/>
      <c r="O7" s="21"/>
      <c r="P7" s="5">
        <f t="shared" ref="P7:P19" si="1">SUM(B7:O7)</f>
        <v>20.25</v>
      </c>
    </row>
    <row r="8" spans="1:16" ht="20.25" customHeight="1" x14ac:dyDescent="0.25">
      <c r="A8" s="7" t="s">
        <v>29</v>
      </c>
      <c r="B8" s="21"/>
      <c r="C8" s="21"/>
      <c r="D8" s="21"/>
      <c r="E8" s="21"/>
      <c r="F8" s="21"/>
      <c r="G8" s="21"/>
      <c r="H8" s="21"/>
      <c r="I8" s="21">
        <v>0.25</v>
      </c>
      <c r="J8" s="21"/>
      <c r="K8" s="21"/>
      <c r="L8" s="21"/>
      <c r="M8" s="21"/>
      <c r="N8" s="21"/>
      <c r="O8" s="21"/>
      <c r="P8" s="5">
        <f t="shared" si="1"/>
        <v>0.25</v>
      </c>
    </row>
    <row r="9" spans="1:16" ht="20.25" customHeight="1" x14ac:dyDescent="0.25">
      <c r="A9" s="7" t="s">
        <v>26</v>
      </c>
      <c r="B9" s="21">
        <v>0.25</v>
      </c>
      <c r="C9" s="21">
        <v>1.25</v>
      </c>
      <c r="D9" s="21"/>
      <c r="E9" s="21">
        <v>1</v>
      </c>
      <c r="F9" s="21"/>
      <c r="G9" s="21"/>
      <c r="H9" s="21"/>
      <c r="I9" s="21"/>
      <c r="J9" s="21">
        <v>0.75</v>
      </c>
      <c r="K9" s="21"/>
      <c r="L9" s="21"/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27</v>
      </c>
      <c r="B10" s="21">
        <v>1.75</v>
      </c>
      <c r="C10" s="21"/>
      <c r="D10" s="21"/>
      <c r="E10" s="21">
        <v>0.25</v>
      </c>
      <c r="F10" s="21">
        <v>0.75</v>
      </c>
      <c r="G10" s="21"/>
      <c r="H10" s="21"/>
      <c r="I10" s="21">
        <v>2</v>
      </c>
      <c r="J10" s="21">
        <v>1.75</v>
      </c>
      <c r="K10" s="21">
        <v>0.25</v>
      </c>
      <c r="L10" s="21">
        <v>1</v>
      </c>
      <c r="M10" s="21"/>
      <c r="N10" s="21"/>
      <c r="O10" s="21"/>
      <c r="P10" s="5">
        <f t="shared" si="1"/>
        <v>7.75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>
        <v>1</v>
      </c>
      <c r="K11" s="21"/>
      <c r="L11" s="21"/>
      <c r="M11" s="21"/>
      <c r="N11" s="21"/>
      <c r="O11" s="21"/>
      <c r="P11" s="5">
        <f t="shared" si="1"/>
        <v>1.75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>
        <v>3.5</v>
      </c>
      <c r="G12" s="21"/>
      <c r="H12" s="21"/>
      <c r="I12" s="21"/>
      <c r="J12" s="21"/>
      <c r="K12" s="21">
        <v>0.75</v>
      </c>
      <c r="L12" s="21">
        <v>1.25</v>
      </c>
      <c r="M12" s="21"/>
      <c r="N12" s="21"/>
      <c r="O12" s="21"/>
      <c r="P12" s="5">
        <f t="shared" si="1"/>
        <v>5.5</v>
      </c>
    </row>
    <row r="13" spans="1:16" ht="20.25" customHeight="1" x14ac:dyDescent="0.25">
      <c r="A13" s="7" t="s">
        <v>54</v>
      </c>
      <c r="B13" s="21"/>
      <c r="C13" s="21">
        <v>1.25</v>
      </c>
      <c r="D13" s="21">
        <v>3</v>
      </c>
      <c r="E13" s="21"/>
      <c r="F13" s="21">
        <v>0.25</v>
      </c>
      <c r="G13" s="21"/>
      <c r="H13" s="21"/>
      <c r="I13" s="21"/>
      <c r="J13" s="21"/>
      <c r="K13" s="21"/>
      <c r="L13" s="21"/>
      <c r="M13" s="21"/>
      <c r="N13" s="21"/>
      <c r="O13" s="21"/>
      <c r="P13" s="5">
        <f t="shared" si="1"/>
        <v>4.5</v>
      </c>
    </row>
    <row r="14" spans="1:16" ht="20.25" customHeight="1" x14ac:dyDescent="0.25">
      <c r="A14" s="7" t="s">
        <v>43</v>
      </c>
      <c r="B14" s="21"/>
      <c r="C14" s="21"/>
      <c r="D14" s="21"/>
      <c r="E14" s="21"/>
      <c r="F14" s="21"/>
      <c r="G14" s="21">
        <v>2.25</v>
      </c>
      <c r="H14" s="21">
        <v>2</v>
      </c>
      <c r="I14" s="21"/>
      <c r="J14" s="21"/>
      <c r="K14" s="21"/>
      <c r="L14" s="21"/>
      <c r="M14" s="21">
        <v>3.75</v>
      </c>
      <c r="N14" s="21"/>
      <c r="O14" s="21"/>
      <c r="P14" s="5">
        <f t="shared" si="1"/>
        <v>8</v>
      </c>
    </row>
    <row r="15" spans="1:16" ht="20.25" customHeight="1" x14ac:dyDescent="0.25">
      <c r="A15" s="7" t="s">
        <v>30</v>
      </c>
      <c r="B15" s="21">
        <v>1.75</v>
      </c>
      <c r="C15" s="21">
        <v>2.75</v>
      </c>
      <c r="D15" s="21">
        <v>3</v>
      </c>
      <c r="E15" s="21">
        <v>3.75</v>
      </c>
      <c r="F15" s="21">
        <v>0.75</v>
      </c>
      <c r="G15" s="21"/>
      <c r="H15" s="21"/>
      <c r="I15" s="21">
        <v>2</v>
      </c>
      <c r="J15" s="21">
        <v>2</v>
      </c>
      <c r="K15" s="21">
        <v>1.5</v>
      </c>
      <c r="L15" s="21">
        <v>1.5</v>
      </c>
      <c r="M15" s="21"/>
      <c r="N15" s="21"/>
      <c r="O15" s="21"/>
      <c r="P15" s="5">
        <f t="shared" si="1"/>
        <v>19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v>6</v>
      </c>
      <c r="N16" s="21"/>
      <c r="O16" s="21"/>
      <c r="P16" s="5">
        <f t="shared" si="1"/>
        <v>6</v>
      </c>
    </row>
    <row r="17" spans="1:16" ht="20.25" customHeight="1" x14ac:dyDescent="0.25">
      <c r="A17" s="7" t="s">
        <v>23</v>
      </c>
      <c r="B17" s="21"/>
      <c r="C17" s="21"/>
      <c r="D17" s="21"/>
      <c r="E17" s="21">
        <v>2.5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2.5</v>
      </c>
    </row>
    <row r="18" spans="1:16" ht="20.25" customHeight="1" x14ac:dyDescent="0.25">
      <c r="A18" s="7" t="s">
        <v>25</v>
      </c>
      <c r="B18" s="21">
        <v>0.5</v>
      </c>
      <c r="C18" s="21"/>
      <c r="D18" s="21"/>
      <c r="E18" s="21">
        <v>0.5</v>
      </c>
      <c r="F18" s="21">
        <v>2</v>
      </c>
      <c r="G18" s="21"/>
      <c r="H18" s="21"/>
      <c r="I18" s="21">
        <v>0.25</v>
      </c>
      <c r="J18" s="21">
        <v>0.5</v>
      </c>
      <c r="K18" s="21">
        <v>1.75</v>
      </c>
      <c r="L18" s="21">
        <v>0.25</v>
      </c>
      <c r="M18" s="21"/>
      <c r="N18" s="21"/>
      <c r="O18" s="21"/>
      <c r="P18" s="5">
        <f t="shared" si="1"/>
        <v>5.75</v>
      </c>
    </row>
    <row r="19" spans="1:16" ht="20.25" customHeight="1" x14ac:dyDescent="0.25">
      <c r="A19" s="7" t="s">
        <v>18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>
        <v>0.75</v>
      </c>
      <c r="M19" s="21"/>
      <c r="N19" s="21"/>
      <c r="O19" s="21"/>
      <c r="P19" s="5">
        <f t="shared" si="1"/>
        <v>0.75</v>
      </c>
    </row>
    <row r="20" spans="1:16" ht="20.25" customHeight="1" x14ac:dyDescent="0.2">
      <c r="A20" s="15" t="s">
        <v>39</v>
      </c>
      <c r="B20" s="14">
        <f t="shared" ref="B20:P20" si="2">SUM(B7:B19)</f>
        <v>7.5</v>
      </c>
      <c r="C20" s="14">
        <f t="shared" si="2"/>
        <v>7.75</v>
      </c>
      <c r="D20" s="14">
        <f t="shared" si="2"/>
        <v>7.25</v>
      </c>
      <c r="E20" s="14">
        <f t="shared" si="2"/>
        <v>9.5</v>
      </c>
      <c r="F20" s="14">
        <f t="shared" si="2"/>
        <v>9</v>
      </c>
      <c r="G20" s="14">
        <f t="shared" si="2"/>
        <v>2.25</v>
      </c>
      <c r="H20" s="14">
        <f t="shared" si="2"/>
        <v>2</v>
      </c>
      <c r="I20" s="14">
        <f t="shared" si="2"/>
        <v>7.5</v>
      </c>
      <c r="J20" s="14">
        <f t="shared" si="2"/>
        <v>7.75</v>
      </c>
      <c r="K20" s="14">
        <f t="shared" si="2"/>
        <v>6.5</v>
      </c>
      <c r="L20" s="14">
        <f t="shared" si="2"/>
        <v>8.5</v>
      </c>
      <c r="M20" s="14">
        <f t="shared" si="2"/>
        <v>9.75</v>
      </c>
      <c r="N20" s="14">
        <f t="shared" si="2"/>
        <v>0</v>
      </c>
      <c r="O20" s="14">
        <f t="shared" si="2"/>
        <v>0</v>
      </c>
      <c r="P20" s="14">
        <f t="shared" si="2"/>
        <v>85.25</v>
      </c>
    </row>
  </sheetData>
  <sortState ref="A7:P19">
    <sortCondition ref="A7:A19"/>
  </sortState>
  <conditionalFormatting sqref="B20:O20">
    <cfRule type="cellIs" dxfId="5" priority="3" operator="greaterThan">
      <formula>8</formula>
    </cfRule>
  </conditionalFormatting>
  <conditionalFormatting sqref="P7:P19">
    <cfRule type="cellIs" dxfId="4" priority="2" operator="greaterThan">
      <formula>80</formula>
    </cfRule>
  </conditionalFormatting>
  <conditionalFormatting sqref="P20">
    <cfRule type="cellIs" dxfId="3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9" r:id="rId4" name="btnAddActivity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"/>
  <sheetViews>
    <sheetView workbookViewId="0">
      <selection activeCell="L22" sqref="L22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>
        <v>2.5</v>
      </c>
      <c r="F7" s="21">
        <v>1.25</v>
      </c>
      <c r="G7" s="21"/>
      <c r="H7" s="21"/>
      <c r="I7" s="21">
        <v>1.75</v>
      </c>
      <c r="J7" s="21">
        <v>1.25</v>
      </c>
      <c r="K7" s="21">
        <v>1.25</v>
      </c>
      <c r="L7" s="21">
        <v>1</v>
      </c>
      <c r="M7" s="21">
        <v>2.5</v>
      </c>
      <c r="N7" s="21"/>
      <c r="O7" s="21"/>
      <c r="P7" s="5">
        <f t="shared" ref="P7:P16" si="1">SUM(B7:O7)</f>
        <v>11.5</v>
      </c>
    </row>
    <row r="8" spans="1:16" ht="20.25" customHeight="1" x14ac:dyDescent="0.25">
      <c r="A8" s="7" t="s">
        <v>26</v>
      </c>
      <c r="B8" s="21"/>
      <c r="C8" s="21"/>
      <c r="D8" s="21"/>
      <c r="E8" s="21"/>
      <c r="F8" s="21"/>
      <c r="G8" s="21"/>
      <c r="H8" s="21"/>
      <c r="I8" s="21"/>
      <c r="J8" s="21"/>
      <c r="K8" s="21">
        <v>1</v>
      </c>
      <c r="L8" s="21"/>
      <c r="M8" s="21"/>
      <c r="N8" s="21"/>
      <c r="O8" s="21"/>
      <c r="P8" s="5">
        <f t="shared" si="1"/>
        <v>1</v>
      </c>
    </row>
    <row r="9" spans="1:16" ht="20.25" customHeight="1" x14ac:dyDescent="0.25">
      <c r="A9" s="7" t="s">
        <v>27</v>
      </c>
      <c r="B9" s="21"/>
      <c r="C9" s="21"/>
      <c r="D9" s="21"/>
      <c r="E9" s="21">
        <v>1.5</v>
      </c>
      <c r="F9" s="21">
        <v>0.5</v>
      </c>
      <c r="G9" s="21">
        <v>0.5</v>
      </c>
      <c r="H9" s="21"/>
      <c r="I9" s="21">
        <v>3.25</v>
      </c>
      <c r="J9" s="21">
        <v>2.25</v>
      </c>
      <c r="K9" s="21">
        <v>2.75</v>
      </c>
      <c r="L9" s="21">
        <v>2.5</v>
      </c>
      <c r="M9" s="21">
        <v>1.75</v>
      </c>
      <c r="N9" s="21"/>
      <c r="O9" s="21"/>
      <c r="P9" s="5">
        <f t="shared" si="1"/>
        <v>15</v>
      </c>
    </row>
    <row r="10" spans="1:16" ht="20.25" customHeight="1" x14ac:dyDescent="0.25">
      <c r="A10" s="7" t="s">
        <v>21</v>
      </c>
      <c r="B10" s="21"/>
      <c r="C10" s="21"/>
      <c r="D10" s="21"/>
      <c r="E10" s="21">
        <v>1.25</v>
      </c>
      <c r="F10" s="21">
        <v>1.25</v>
      </c>
      <c r="G10" s="21"/>
      <c r="H10" s="21"/>
      <c r="I10" s="21"/>
      <c r="J10" s="21"/>
      <c r="K10" s="21"/>
      <c r="L10" s="21"/>
      <c r="M10" s="21"/>
      <c r="N10" s="21"/>
      <c r="O10" s="21"/>
      <c r="P10" s="5">
        <f t="shared" si="1"/>
        <v>2.5</v>
      </c>
    </row>
    <row r="11" spans="1:16" ht="20.25" customHeight="1" x14ac:dyDescent="0.25">
      <c r="A11" s="7" t="s">
        <v>19</v>
      </c>
      <c r="B11" s="21"/>
      <c r="C11" s="21"/>
      <c r="D11" s="21"/>
      <c r="E11" s="21"/>
      <c r="F11" s="21"/>
      <c r="G11" s="21"/>
      <c r="H11" s="21"/>
      <c r="I11" s="21">
        <v>1</v>
      </c>
      <c r="J11" s="21"/>
      <c r="K11" s="21"/>
      <c r="L11" s="21"/>
      <c r="M11" s="21"/>
      <c r="N11" s="21"/>
      <c r="O11" s="21"/>
      <c r="P11" s="5">
        <f t="shared" si="1"/>
        <v>1</v>
      </c>
    </row>
    <row r="12" spans="1:16" ht="20.25" customHeight="1" x14ac:dyDescent="0.25">
      <c r="A12" s="7" t="s">
        <v>43</v>
      </c>
      <c r="B12" s="21"/>
      <c r="C12" s="21"/>
      <c r="D12" s="21"/>
      <c r="E12" s="21"/>
      <c r="F12" s="21"/>
      <c r="G12" s="21">
        <v>4.75</v>
      </c>
      <c r="H12" s="21"/>
      <c r="I12" s="21"/>
      <c r="J12" s="21">
        <v>2</v>
      </c>
      <c r="K12" s="21"/>
      <c r="L12" s="21">
        <v>3.5</v>
      </c>
      <c r="M12" s="21"/>
      <c r="N12" s="21"/>
      <c r="O12" s="21"/>
      <c r="P12" s="5">
        <f t="shared" si="1"/>
        <v>10.25</v>
      </c>
    </row>
    <row r="13" spans="1:16" ht="20.25" customHeight="1" x14ac:dyDescent="0.25">
      <c r="A13" s="7" t="s">
        <v>30</v>
      </c>
      <c r="B13" s="21"/>
      <c r="C13" s="21"/>
      <c r="D13" s="21"/>
      <c r="E13" s="21">
        <v>2.75</v>
      </c>
      <c r="F13" s="21"/>
      <c r="G13" s="21"/>
      <c r="H13" s="21"/>
      <c r="I13" s="21">
        <v>1.75</v>
      </c>
      <c r="J13" s="21">
        <v>0.75</v>
      </c>
      <c r="K13" s="21">
        <v>2.25</v>
      </c>
      <c r="L13" s="21"/>
      <c r="M13" s="21">
        <v>2.75</v>
      </c>
      <c r="N13" s="21"/>
      <c r="O13" s="21"/>
      <c r="P13" s="5">
        <f t="shared" si="1"/>
        <v>10.25</v>
      </c>
    </row>
    <row r="14" spans="1:16" ht="20.25" customHeight="1" x14ac:dyDescent="0.25">
      <c r="A14" s="7" t="s">
        <v>28</v>
      </c>
      <c r="B14" s="21">
        <v>8</v>
      </c>
      <c r="C14" s="21">
        <v>8</v>
      </c>
      <c r="D14" s="21">
        <v>2.75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5">
        <f t="shared" si="1"/>
        <v>18.75</v>
      </c>
    </row>
    <row r="15" spans="1:16" ht="20.25" customHeight="1" x14ac:dyDescent="0.25">
      <c r="A15" s="7" t="s">
        <v>25</v>
      </c>
      <c r="B15" s="21"/>
      <c r="C15" s="21"/>
      <c r="D15" s="21"/>
      <c r="E15" s="21">
        <v>0.5</v>
      </c>
      <c r="F15" s="21">
        <v>2</v>
      </c>
      <c r="G15" s="21">
        <v>0.5</v>
      </c>
      <c r="H15" s="21"/>
      <c r="I15" s="21"/>
      <c r="J15" s="21">
        <v>1</v>
      </c>
      <c r="K15" s="21">
        <v>0.75</v>
      </c>
      <c r="L15" s="21">
        <v>1</v>
      </c>
      <c r="M15" s="21">
        <v>1</v>
      </c>
      <c r="N15" s="21"/>
      <c r="O15" s="21"/>
      <c r="P15" s="5">
        <f t="shared" si="1"/>
        <v>6.75</v>
      </c>
    </row>
    <row r="16" spans="1:16" ht="20.25" customHeight="1" x14ac:dyDescent="0.25">
      <c r="A16" s="7" t="s">
        <v>18</v>
      </c>
      <c r="B16" s="21"/>
      <c r="C16" s="21"/>
      <c r="D16" s="21"/>
      <c r="E16" s="21">
        <v>1</v>
      </c>
      <c r="F16" s="21">
        <v>1</v>
      </c>
      <c r="G16" s="21"/>
      <c r="H16" s="21"/>
      <c r="I16" s="21">
        <v>1</v>
      </c>
      <c r="J16" s="21">
        <v>0.25</v>
      </c>
      <c r="K16" s="21">
        <v>0.5</v>
      </c>
      <c r="L16" s="21"/>
      <c r="M16" s="21"/>
      <c r="N16" s="21"/>
      <c r="O16" s="21"/>
      <c r="P16" s="5">
        <f t="shared" si="1"/>
        <v>3.75</v>
      </c>
    </row>
    <row r="17" spans="1:16" ht="20.25" customHeight="1" x14ac:dyDescent="0.2">
      <c r="A17" s="15" t="s">
        <v>39</v>
      </c>
      <c r="B17" s="14">
        <f t="shared" ref="B17:K17" si="2">SUM(B7:B16)</f>
        <v>8</v>
      </c>
      <c r="C17" s="14">
        <f t="shared" si="2"/>
        <v>8</v>
      </c>
      <c r="D17" s="14">
        <f t="shared" si="2"/>
        <v>2.75</v>
      </c>
      <c r="E17" s="14">
        <f t="shared" si="2"/>
        <v>9.5</v>
      </c>
      <c r="F17" s="14">
        <f t="shared" si="2"/>
        <v>6</v>
      </c>
      <c r="G17" s="14">
        <f t="shared" si="2"/>
        <v>5.75</v>
      </c>
      <c r="H17" s="14">
        <f t="shared" si="2"/>
        <v>0</v>
      </c>
      <c r="I17" s="14">
        <f t="shared" si="2"/>
        <v>8.75</v>
      </c>
      <c r="J17" s="14">
        <f t="shared" si="2"/>
        <v>7.5</v>
      </c>
      <c r="K17" s="14">
        <f t="shared" si="2"/>
        <v>8.5</v>
      </c>
      <c r="L17" s="14">
        <v>8.25</v>
      </c>
      <c r="M17" s="14">
        <f>SUM(M7:M16)</f>
        <v>8</v>
      </c>
      <c r="N17" s="14">
        <f>SUM(N7:N16)</f>
        <v>0</v>
      </c>
      <c r="O17" s="14">
        <f>SUM(O7:O16)</f>
        <v>0</v>
      </c>
      <c r="P17" s="14">
        <f>SUM(P7:P16)</f>
        <v>80.75</v>
      </c>
    </row>
  </sheetData>
  <sortState ref="A7:P16">
    <sortCondition ref="A7:A16"/>
  </sortState>
  <dataConsolidate/>
  <conditionalFormatting sqref="B17:O17">
    <cfRule type="cellIs" dxfId="2" priority="3" operator="greaterThan">
      <formula>8</formula>
    </cfRule>
  </conditionalFormatting>
  <conditionalFormatting sqref="P7:P16">
    <cfRule type="cellIs" dxfId="1" priority="2" operator="greaterThan">
      <formula>80</formula>
    </cfRule>
  </conditionalFormatting>
  <conditionalFormatting sqref="P17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161925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45"/>
  <sheetViews>
    <sheetView zoomScaleNormal="100" workbookViewId="0">
      <selection activeCell="P3" sqref="P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8" x14ac:dyDescent="0.2">
      <c r="A1" s="1" t="s">
        <v>9</v>
      </c>
      <c r="B1" s="1" t="s">
        <v>16</v>
      </c>
      <c r="C1" s="1" t="s">
        <v>33</v>
      </c>
      <c r="D1" s="1" t="s">
        <v>31</v>
      </c>
      <c r="E1" s="1" t="s">
        <v>32</v>
      </c>
      <c r="F1" s="1" t="s">
        <v>34</v>
      </c>
      <c r="G1" s="1" t="s">
        <v>35</v>
      </c>
      <c r="H1" s="1" t="s">
        <v>36</v>
      </c>
      <c r="I1" s="1" t="s">
        <v>38</v>
      </c>
      <c r="J1" s="1" t="s">
        <v>37</v>
      </c>
      <c r="K1" s="1" t="s">
        <v>42</v>
      </c>
      <c r="L1" s="1" t="s">
        <v>44</v>
      </c>
      <c r="M1" s="1" t="s">
        <v>45</v>
      </c>
      <c r="N1" s="1" t="s">
        <v>48</v>
      </c>
      <c r="O1" s="1" t="s">
        <v>49</v>
      </c>
      <c r="P1" s="1" t="s">
        <v>50</v>
      </c>
      <c r="Q1" t="s">
        <v>56</v>
      </c>
      <c r="R1" t="s">
        <v>59</v>
      </c>
    </row>
    <row r="2" spans="1:18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62</v>
      </c>
      <c r="M2" s="1"/>
      <c r="N2" t="s">
        <v>12</v>
      </c>
      <c r="O2" t="b">
        <v>1</v>
      </c>
      <c r="P2" t="s">
        <v>61</v>
      </c>
      <c r="Q2" t="b">
        <v>1</v>
      </c>
      <c r="R2" t="s">
        <v>63</v>
      </c>
    </row>
    <row r="3" spans="1:18" x14ac:dyDescent="0.2">
      <c r="A3" s="1" t="s">
        <v>11</v>
      </c>
      <c r="B3" s="1" t="s">
        <v>29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Q3" t="s">
        <v>60</v>
      </c>
      <c r="R3" t="s">
        <v>64</v>
      </c>
    </row>
    <row r="4" spans="1:18" x14ac:dyDescent="0.2">
      <c r="A4" s="1" t="s">
        <v>47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  <c r="Q4">
        <v>4.2</v>
      </c>
    </row>
    <row r="5" spans="1:18" x14ac:dyDescent="0.2">
      <c r="A5" s="1" t="s">
        <v>10</v>
      </c>
      <c r="B5" s="1" t="s">
        <v>26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1"/>
        <v>40963</v>
      </c>
      <c r="G5" s="1">
        <f t="shared" si="0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8" x14ac:dyDescent="0.2">
      <c r="A6" s="1" t="s">
        <v>46</v>
      </c>
      <c r="B6" s="1" t="s">
        <v>51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1"/>
        <v>40977</v>
      </c>
      <c r="G6" s="1">
        <f t="shared" si="0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8" x14ac:dyDescent="0.2">
      <c r="A7" s="1" t="s">
        <v>12</v>
      </c>
      <c r="B7" s="1" t="s">
        <v>52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1"/>
        <v>40991</v>
      </c>
      <c r="G7" s="1">
        <f t="shared" si="0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8" x14ac:dyDescent="0.2">
      <c r="A8" s="1" t="s">
        <v>14</v>
      </c>
      <c r="B8" s="1" t="s">
        <v>27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1"/>
        <v>41005</v>
      </c>
      <c r="G8" s="1">
        <f t="shared" si="0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8" x14ac:dyDescent="0.2">
      <c r="B9" s="1" t="s">
        <v>53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1"/>
        <v>41019</v>
      </c>
      <c r="G9" s="1">
        <f t="shared" si="0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8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1"/>
        <v>41033</v>
      </c>
      <c r="G10" s="1">
        <f t="shared" si="0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8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1"/>
        <v>41047</v>
      </c>
      <c r="G11" s="1">
        <f t="shared" si="0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8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1"/>
        <v>41061</v>
      </c>
      <c r="G12" s="1">
        <f t="shared" si="0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8" x14ac:dyDescent="0.2">
      <c r="B13" s="1" t="s">
        <v>54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1"/>
        <v>41075</v>
      </c>
      <c r="G13" s="1">
        <f t="shared" si="0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8" x14ac:dyDescent="0.2">
      <c r="B14" s="1" t="s">
        <v>43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1"/>
        <v>41089</v>
      </c>
      <c r="G14" s="1">
        <f t="shared" si="0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8" x14ac:dyDescent="0.2">
      <c r="B15" s="1" t="s">
        <v>30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1"/>
        <v>41103</v>
      </c>
      <c r="G15" s="1">
        <f t="shared" si="0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8" x14ac:dyDescent="0.2">
      <c r="B16" s="1" t="s">
        <v>28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1"/>
        <v>41117</v>
      </c>
      <c r="G16" s="1">
        <f t="shared" si="0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1"/>
        <v>41131</v>
      </c>
      <c r="G17" s="1">
        <f t="shared" si="0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1"/>
        <v>41145</v>
      </c>
      <c r="G18" s="1">
        <f t="shared" si="0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t="s">
        <v>55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1"/>
        <v>41159</v>
      </c>
      <c r="G19" s="1">
        <f t="shared" si="0"/>
        <v>2012</v>
      </c>
      <c r="H19" s="2">
        <f t="shared" si="6"/>
        <v>12</v>
      </c>
      <c r="I19" s="2" t="str">
        <f t="shared" si="2"/>
        <v>September</v>
      </c>
      <c r="J19" s="2" t="str">
        <f t="shared" si="7"/>
        <v>Sat</v>
      </c>
      <c r="K19" s="2" t="str">
        <f t="shared" si="3"/>
        <v>201218</v>
      </c>
    </row>
    <row r="20" spans="2:11" x14ac:dyDescent="0.2">
      <c r="B20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1"/>
        <v>41173</v>
      </c>
      <c r="G20" s="1">
        <f t="shared" si="0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1"/>
        <v>41187</v>
      </c>
      <c r="G21" s="1">
        <f t="shared" si="0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1"/>
        <v>41201</v>
      </c>
      <c r="G22" s="1">
        <f t="shared" si="0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1"/>
        <v>41215</v>
      </c>
      <c r="G23" s="1">
        <f t="shared" si="0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1"/>
        <v>41229</v>
      </c>
      <c r="G24" s="1">
        <f t="shared" si="0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1"/>
        <v>41243</v>
      </c>
      <c r="G25" s="1">
        <f t="shared" si="0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1"/>
        <v>41257</v>
      </c>
      <c r="G26" s="1">
        <f t="shared" si="0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1"/>
        <v>41271</v>
      </c>
      <c r="G27" s="1">
        <f t="shared" si="0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1"/>
        <v>41285</v>
      </c>
      <c r="G28" s="1">
        <f t="shared" si="0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1"/>
        <v>41299</v>
      </c>
      <c r="G29" s="1">
        <f t="shared" si="0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1"/>
        <v>41313</v>
      </c>
      <c r="G30" s="1">
        <f t="shared" si="0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1"/>
        <v>41327</v>
      </c>
      <c r="G31" s="1">
        <f t="shared" si="0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1"/>
        <v>41341</v>
      </c>
      <c r="G32" s="1">
        <f t="shared" si="0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1"/>
        <v>41355</v>
      </c>
      <c r="G33" s="1">
        <f t="shared" si="0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1"/>
        <v>41369</v>
      </c>
      <c r="G34" s="1">
        <f t="shared" ref="G34:G65" si="8">IF(D34&lt;DATE(2012,9,1),2012,IF(D34&lt;DATE(2013,9,1),2013,IF(D34&lt;DATE(2014,9,1),2014,IF(D34&lt;DATE(2015,9,1),2015,2016))))</f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1"/>
        <v>41383</v>
      </c>
      <c r="G35" s="1">
        <f t="shared" si="8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1"/>
        <v>41397</v>
      </c>
      <c r="G36" s="1">
        <f t="shared" si="8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1"/>
        <v>41411</v>
      </c>
      <c r="G37" s="1">
        <f t="shared" si="8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1"/>
        <v>41425</v>
      </c>
      <c r="G38" s="1">
        <f t="shared" si="8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1"/>
        <v>41439</v>
      </c>
      <c r="G39" s="1">
        <f t="shared" si="8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1"/>
        <v>41453</v>
      </c>
      <c r="G40" s="1">
        <f t="shared" si="8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1"/>
        <v>41467</v>
      </c>
      <c r="G41" s="1">
        <f t="shared" si="8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1"/>
        <v>41481</v>
      </c>
      <c r="G42" s="1">
        <f t="shared" si="8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1"/>
        <v>41495</v>
      </c>
      <c r="G43" s="1">
        <f t="shared" si="8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1"/>
        <v>41509</v>
      </c>
      <c r="G44" s="1">
        <f t="shared" si="8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1"/>
        <v>41523</v>
      </c>
      <c r="G45" s="1">
        <f t="shared" si="8"/>
        <v>2013</v>
      </c>
      <c r="H45" s="2">
        <f t="shared" si="6"/>
        <v>13</v>
      </c>
      <c r="I45" s="2" t="str">
        <f t="shared" si="2"/>
        <v>September</v>
      </c>
      <c r="J45" s="2" t="str">
        <f t="shared" si="7"/>
        <v>Sun</v>
      </c>
      <c r="K45" s="2" t="str">
        <f t="shared" si="3"/>
        <v>201318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1"/>
        <v>41537</v>
      </c>
      <c r="G46" s="1">
        <f t="shared" si="8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1"/>
        <v>41551</v>
      </c>
      <c r="G47" s="1">
        <f t="shared" si="8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1"/>
        <v>41565</v>
      </c>
      <c r="G48" s="1">
        <f t="shared" si="8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1"/>
        <v>41579</v>
      </c>
      <c r="G49" s="1">
        <f t="shared" si="8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1"/>
        <v>41593</v>
      </c>
      <c r="G50" s="1">
        <f t="shared" si="8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1"/>
        <v>41607</v>
      </c>
      <c r="G51" s="1">
        <f t="shared" si="8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1"/>
        <v>41621</v>
      </c>
      <c r="G52" s="1">
        <f t="shared" si="8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1"/>
        <v>41635</v>
      </c>
      <c r="G53" s="1">
        <f t="shared" si="8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1"/>
        <v>41649</v>
      </c>
      <c r="G54" s="1">
        <f t="shared" si="8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1"/>
        <v>41663</v>
      </c>
      <c r="G55" s="1">
        <f t="shared" si="8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1"/>
        <v>41677</v>
      </c>
      <c r="G56" s="1">
        <f t="shared" si="8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1"/>
        <v>41691</v>
      </c>
      <c r="G57" s="1">
        <f t="shared" si="8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1"/>
        <v>41705</v>
      </c>
      <c r="G58" s="1">
        <f t="shared" si="8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1"/>
        <v>41719</v>
      </c>
      <c r="G59" s="1">
        <f t="shared" si="8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1"/>
        <v>41733</v>
      </c>
      <c r="G60" s="1">
        <f t="shared" si="8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1"/>
        <v>41747</v>
      </c>
      <c r="G61" s="1">
        <f t="shared" si="8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1"/>
        <v>41761</v>
      </c>
      <c r="G62" s="1">
        <f t="shared" si="8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1"/>
        <v>41775</v>
      </c>
      <c r="G63" s="1">
        <f t="shared" si="8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1"/>
        <v>41789</v>
      </c>
      <c r="G64" s="1">
        <f t="shared" si="8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1"/>
        <v>41803</v>
      </c>
      <c r="G65" s="1">
        <f t="shared" si="8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1"/>
        <v>41817</v>
      </c>
      <c r="G66" s="1">
        <f t="shared" ref="G66:G97" si="9">IF(D66&lt;DATE(2012,9,1),2012,IF(D66&lt;DATE(2013,9,1),2013,IF(D66&lt;DATE(2014,9,1),2014,IF(D66&lt;DATE(2015,9,1),2015,2016))))</f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10">E67+5</f>
        <v>41831</v>
      </c>
      <c r="G67" s="1">
        <f t="shared" si="9"/>
        <v>2014</v>
      </c>
      <c r="H67" s="2" t="str">
        <f t="shared" si="6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2">G67 &amp; C67</f>
        <v>201414</v>
      </c>
    </row>
    <row r="68" spans="3:11" x14ac:dyDescent="0.2">
      <c r="C68" s="2">
        <v>15</v>
      </c>
      <c r="D68" s="9">
        <f t="shared" ref="D68:D124" si="13">E67+1</f>
        <v>41827</v>
      </c>
      <c r="E68" s="9">
        <f t="shared" ref="E68:E124" si="14">D68+13</f>
        <v>41840</v>
      </c>
      <c r="F68" s="9">
        <f t="shared" si="10"/>
        <v>41845</v>
      </c>
      <c r="G68" s="1">
        <f t="shared" si="9"/>
        <v>2014</v>
      </c>
      <c r="H68" s="2" t="str">
        <f t="shared" ref="H68:H118" si="15">IF(AND(D68&lt;DATE(G67,9,1),E68&gt;DATE(G67,8,31)),DATE(G67,9,1)-D68,"")</f>
        <v/>
      </c>
      <c r="I68" s="2" t="str">
        <f t="shared" si="11"/>
        <v>July</v>
      </c>
      <c r="J68" s="2" t="str">
        <f t="shared" ref="J68:J124" si="16">IF(MONTH(E68)=MONTH(E67),"",CHOOSE(WEEKDAY(DATE(G68,MONTH(F68),1),2),"Mon","Tue","Wed","Thu","Fri","Sat","Sun"))</f>
        <v/>
      </c>
      <c r="K68" s="2" t="str">
        <f t="shared" si="12"/>
        <v>201415</v>
      </c>
    </row>
    <row r="69" spans="3:11" x14ac:dyDescent="0.2">
      <c r="C69" s="2">
        <v>16</v>
      </c>
      <c r="D69" s="9">
        <f t="shared" si="13"/>
        <v>41841</v>
      </c>
      <c r="E69" s="9">
        <f t="shared" si="14"/>
        <v>41854</v>
      </c>
      <c r="F69" s="9">
        <f t="shared" si="10"/>
        <v>41859</v>
      </c>
      <c r="G69" s="1">
        <f t="shared" si="9"/>
        <v>2014</v>
      </c>
      <c r="H69" s="2" t="str">
        <f t="shared" si="15"/>
        <v/>
      </c>
      <c r="I69" s="2" t="str">
        <f t="shared" si="11"/>
        <v>August</v>
      </c>
      <c r="J69" s="2" t="str">
        <f t="shared" si="16"/>
        <v>Fri</v>
      </c>
      <c r="K69" s="2" t="str">
        <f t="shared" si="12"/>
        <v>201416</v>
      </c>
    </row>
    <row r="70" spans="3:11" x14ac:dyDescent="0.2">
      <c r="C70" s="2">
        <v>17</v>
      </c>
      <c r="D70" s="9">
        <f t="shared" si="13"/>
        <v>41855</v>
      </c>
      <c r="E70" s="9">
        <f t="shared" si="14"/>
        <v>41868</v>
      </c>
      <c r="F70" s="9">
        <f t="shared" si="10"/>
        <v>41873</v>
      </c>
      <c r="G70" s="1">
        <f t="shared" si="9"/>
        <v>2014</v>
      </c>
      <c r="H70" s="2" t="str">
        <f t="shared" si="15"/>
        <v/>
      </c>
      <c r="I70" s="2" t="str">
        <f t="shared" si="11"/>
        <v>August</v>
      </c>
      <c r="J70" s="2" t="str">
        <f t="shared" si="16"/>
        <v/>
      </c>
      <c r="K70" s="2" t="str">
        <f t="shared" si="12"/>
        <v>201417</v>
      </c>
    </row>
    <row r="71" spans="3:11" x14ac:dyDescent="0.2">
      <c r="C71" s="2">
        <v>18</v>
      </c>
      <c r="D71" s="9">
        <f t="shared" si="13"/>
        <v>41869</v>
      </c>
      <c r="E71" s="9">
        <f t="shared" si="14"/>
        <v>41882</v>
      </c>
      <c r="F71" s="9">
        <f t="shared" si="10"/>
        <v>41887</v>
      </c>
      <c r="G71" s="1">
        <f t="shared" si="9"/>
        <v>2014</v>
      </c>
      <c r="H71" s="2" t="str">
        <f t="shared" si="15"/>
        <v/>
      </c>
      <c r="I71" s="2" t="str">
        <f t="shared" si="11"/>
        <v>September</v>
      </c>
      <c r="J71" s="2" t="str">
        <f t="shared" si="16"/>
        <v/>
      </c>
      <c r="K71" s="2" t="str">
        <f t="shared" si="12"/>
        <v>201418</v>
      </c>
    </row>
    <row r="72" spans="3:11" x14ac:dyDescent="0.2">
      <c r="C72" s="2">
        <v>19</v>
      </c>
      <c r="D72" s="9">
        <f t="shared" si="13"/>
        <v>41883</v>
      </c>
      <c r="E72" s="9">
        <f t="shared" si="14"/>
        <v>41896</v>
      </c>
      <c r="F72" s="9">
        <f t="shared" si="10"/>
        <v>41901</v>
      </c>
      <c r="G72" s="1">
        <f t="shared" si="9"/>
        <v>2015</v>
      </c>
      <c r="H72" s="2" t="str">
        <f t="shared" si="15"/>
        <v/>
      </c>
      <c r="I72" s="2" t="str">
        <f t="shared" si="11"/>
        <v>September</v>
      </c>
      <c r="J72" s="2" t="str">
        <f t="shared" si="16"/>
        <v>Tue</v>
      </c>
      <c r="K72" s="2" t="str">
        <f t="shared" si="12"/>
        <v>201519</v>
      </c>
    </row>
    <row r="73" spans="3:11" x14ac:dyDescent="0.2">
      <c r="C73" s="2">
        <v>20</v>
      </c>
      <c r="D73" s="9">
        <f t="shared" si="13"/>
        <v>41897</v>
      </c>
      <c r="E73" s="9">
        <f t="shared" si="14"/>
        <v>41910</v>
      </c>
      <c r="F73" s="9">
        <f t="shared" si="10"/>
        <v>41915</v>
      </c>
      <c r="G73" s="1">
        <f t="shared" si="9"/>
        <v>2015</v>
      </c>
      <c r="H73" s="2" t="str">
        <f t="shared" si="15"/>
        <v/>
      </c>
      <c r="I73" s="2" t="str">
        <f t="shared" si="11"/>
        <v>October</v>
      </c>
      <c r="J73" s="2" t="str">
        <f t="shared" si="16"/>
        <v/>
      </c>
      <c r="K73" s="2" t="str">
        <f t="shared" si="12"/>
        <v>201520</v>
      </c>
    </row>
    <row r="74" spans="3:11" x14ac:dyDescent="0.2">
      <c r="C74" s="2">
        <v>21</v>
      </c>
      <c r="D74" s="9">
        <f t="shared" si="13"/>
        <v>41911</v>
      </c>
      <c r="E74" s="9">
        <f t="shared" si="14"/>
        <v>41924</v>
      </c>
      <c r="F74" s="9">
        <f t="shared" si="10"/>
        <v>41929</v>
      </c>
      <c r="G74" s="1">
        <f t="shared" si="9"/>
        <v>2015</v>
      </c>
      <c r="H74" s="2" t="str">
        <f t="shared" si="15"/>
        <v/>
      </c>
      <c r="I74" s="2" t="str">
        <f t="shared" si="11"/>
        <v>October</v>
      </c>
      <c r="J74" s="2" t="str">
        <f t="shared" si="16"/>
        <v>Thu</v>
      </c>
      <c r="K74" s="2" t="str">
        <f t="shared" si="12"/>
        <v>201521</v>
      </c>
    </row>
    <row r="75" spans="3:11" x14ac:dyDescent="0.2">
      <c r="C75" s="2">
        <v>22</v>
      </c>
      <c r="D75" s="9">
        <f t="shared" si="13"/>
        <v>41925</v>
      </c>
      <c r="E75" s="9">
        <f t="shared" si="14"/>
        <v>41938</v>
      </c>
      <c r="F75" s="9">
        <f t="shared" si="10"/>
        <v>41943</v>
      </c>
      <c r="G75" s="1">
        <f t="shared" si="9"/>
        <v>2015</v>
      </c>
      <c r="H75" s="2" t="str">
        <f t="shared" si="15"/>
        <v/>
      </c>
      <c r="I75" s="2" t="str">
        <f t="shared" si="11"/>
        <v>October</v>
      </c>
      <c r="J75" s="2" t="str">
        <f t="shared" si="16"/>
        <v/>
      </c>
      <c r="K75" s="2" t="str">
        <f t="shared" si="12"/>
        <v>201522</v>
      </c>
    </row>
    <row r="76" spans="3:11" x14ac:dyDescent="0.2">
      <c r="C76" s="2">
        <v>23</v>
      </c>
      <c r="D76" s="9">
        <f t="shared" si="13"/>
        <v>41939</v>
      </c>
      <c r="E76" s="9">
        <f t="shared" si="14"/>
        <v>41952</v>
      </c>
      <c r="F76" s="9">
        <f t="shared" si="10"/>
        <v>41957</v>
      </c>
      <c r="G76" s="1">
        <f t="shared" si="9"/>
        <v>2015</v>
      </c>
      <c r="H76" s="2" t="str">
        <f t="shared" si="15"/>
        <v/>
      </c>
      <c r="I76" s="2" t="str">
        <f t="shared" si="11"/>
        <v>November</v>
      </c>
      <c r="J76" s="2" t="str">
        <f t="shared" si="16"/>
        <v>Sun</v>
      </c>
      <c r="K76" s="2" t="str">
        <f t="shared" si="12"/>
        <v>201523</v>
      </c>
    </row>
    <row r="77" spans="3:11" x14ac:dyDescent="0.2">
      <c r="C77" s="2">
        <v>24</v>
      </c>
      <c r="D77" s="9">
        <f t="shared" si="13"/>
        <v>41953</v>
      </c>
      <c r="E77" s="9">
        <f t="shared" si="14"/>
        <v>41966</v>
      </c>
      <c r="F77" s="9">
        <f t="shared" si="10"/>
        <v>41971</v>
      </c>
      <c r="G77" s="1">
        <f t="shared" si="9"/>
        <v>2015</v>
      </c>
      <c r="H77" s="2" t="str">
        <f t="shared" si="15"/>
        <v/>
      </c>
      <c r="I77" s="2" t="str">
        <f t="shared" si="11"/>
        <v>November</v>
      </c>
      <c r="J77" s="2" t="str">
        <f t="shared" si="16"/>
        <v/>
      </c>
      <c r="K77" s="2" t="str">
        <f t="shared" si="12"/>
        <v>201524</v>
      </c>
    </row>
    <row r="78" spans="3:11" x14ac:dyDescent="0.2">
      <c r="C78" s="2">
        <v>25</v>
      </c>
      <c r="D78" s="9">
        <f t="shared" si="13"/>
        <v>41967</v>
      </c>
      <c r="E78" s="9">
        <f t="shared" si="14"/>
        <v>41980</v>
      </c>
      <c r="F78" s="9">
        <f t="shared" si="10"/>
        <v>41985</v>
      </c>
      <c r="G78" s="1">
        <f t="shared" si="9"/>
        <v>2015</v>
      </c>
      <c r="H78" s="2" t="str">
        <f t="shared" si="15"/>
        <v/>
      </c>
      <c r="I78" s="2" t="str">
        <f t="shared" si="11"/>
        <v>December</v>
      </c>
      <c r="J78" s="2" t="str">
        <f t="shared" si="16"/>
        <v>Tue</v>
      </c>
      <c r="K78" s="2" t="str">
        <f t="shared" si="12"/>
        <v>201525</v>
      </c>
    </row>
    <row r="79" spans="3:11" x14ac:dyDescent="0.2">
      <c r="C79" s="2">
        <v>26</v>
      </c>
      <c r="D79" s="9">
        <f t="shared" si="13"/>
        <v>41981</v>
      </c>
      <c r="E79" s="9">
        <f t="shared" si="14"/>
        <v>41994</v>
      </c>
      <c r="F79" s="9">
        <f t="shared" si="10"/>
        <v>41999</v>
      </c>
      <c r="G79" s="1">
        <f t="shared" si="9"/>
        <v>2015</v>
      </c>
      <c r="H79" s="2" t="str">
        <f t="shared" si="15"/>
        <v/>
      </c>
      <c r="I79" s="2" t="str">
        <f t="shared" si="11"/>
        <v>December</v>
      </c>
      <c r="J79" s="2" t="str">
        <f t="shared" si="16"/>
        <v/>
      </c>
      <c r="K79" s="2" t="str">
        <f t="shared" si="12"/>
        <v>201526</v>
      </c>
    </row>
    <row r="80" spans="3:11" x14ac:dyDescent="0.2">
      <c r="C80" s="2">
        <v>1</v>
      </c>
      <c r="D80" s="9">
        <f t="shared" si="13"/>
        <v>41995</v>
      </c>
      <c r="E80" s="9">
        <f t="shared" si="14"/>
        <v>42008</v>
      </c>
      <c r="F80" s="9">
        <f t="shared" si="10"/>
        <v>42013</v>
      </c>
      <c r="G80" s="1">
        <f t="shared" si="9"/>
        <v>2015</v>
      </c>
      <c r="H80" s="2" t="str">
        <f t="shared" si="15"/>
        <v/>
      </c>
      <c r="I80" s="2" t="str">
        <f t="shared" si="11"/>
        <v>January</v>
      </c>
      <c r="J80" s="2" t="str">
        <f t="shared" si="16"/>
        <v>Thu</v>
      </c>
      <c r="K80" s="2" t="str">
        <f t="shared" si="12"/>
        <v>20151</v>
      </c>
    </row>
    <row r="81" spans="3:11" x14ac:dyDescent="0.2">
      <c r="C81" s="2">
        <v>2</v>
      </c>
      <c r="D81" s="9">
        <f t="shared" si="13"/>
        <v>42009</v>
      </c>
      <c r="E81" s="9">
        <f t="shared" si="14"/>
        <v>42022</v>
      </c>
      <c r="F81" s="9">
        <f t="shared" si="10"/>
        <v>42027</v>
      </c>
      <c r="G81" s="1">
        <f t="shared" si="9"/>
        <v>2015</v>
      </c>
      <c r="H81" s="2" t="str">
        <f t="shared" si="15"/>
        <v/>
      </c>
      <c r="I81" s="2" t="str">
        <f t="shared" si="11"/>
        <v>January</v>
      </c>
      <c r="J81" s="2" t="str">
        <f t="shared" si="16"/>
        <v/>
      </c>
      <c r="K81" s="2" t="str">
        <f t="shared" si="12"/>
        <v>20152</v>
      </c>
    </row>
    <row r="82" spans="3:11" x14ac:dyDescent="0.2">
      <c r="C82" s="2">
        <v>3</v>
      </c>
      <c r="D82" s="9">
        <f t="shared" si="13"/>
        <v>42023</v>
      </c>
      <c r="E82" s="9">
        <f t="shared" si="14"/>
        <v>42036</v>
      </c>
      <c r="F82" s="9">
        <f t="shared" si="10"/>
        <v>42041</v>
      </c>
      <c r="G82" s="1">
        <f t="shared" si="9"/>
        <v>2015</v>
      </c>
      <c r="H82" s="2" t="str">
        <f t="shared" si="15"/>
        <v/>
      </c>
      <c r="I82" s="2" t="str">
        <f t="shared" si="11"/>
        <v>February</v>
      </c>
      <c r="J82" s="2" t="str">
        <f t="shared" si="16"/>
        <v>Sun</v>
      </c>
      <c r="K82" s="2" t="str">
        <f t="shared" si="12"/>
        <v>20153</v>
      </c>
    </row>
    <row r="83" spans="3:11" x14ac:dyDescent="0.2">
      <c r="C83" s="2">
        <v>4</v>
      </c>
      <c r="D83" s="9">
        <f t="shared" si="13"/>
        <v>42037</v>
      </c>
      <c r="E83" s="9">
        <f t="shared" si="14"/>
        <v>42050</v>
      </c>
      <c r="F83" s="9">
        <f t="shared" si="10"/>
        <v>42055</v>
      </c>
      <c r="G83" s="1">
        <f t="shared" si="9"/>
        <v>2015</v>
      </c>
      <c r="H83" s="2" t="str">
        <f t="shared" si="15"/>
        <v/>
      </c>
      <c r="I83" s="2" t="str">
        <f t="shared" si="11"/>
        <v>February</v>
      </c>
      <c r="J83" s="2" t="str">
        <f t="shared" si="16"/>
        <v/>
      </c>
      <c r="K83" s="2" t="str">
        <f t="shared" si="12"/>
        <v>20154</v>
      </c>
    </row>
    <row r="84" spans="3:11" x14ac:dyDescent="0.2">
      <c r="C84" s="2">
        <v>5</v>
      </c>
      <c r="D84" s="9">
        <f t="shared" si="13"/>
        <v>42051</v>
      </c>
      <c r="E84" s="9">
        <f t="shared" si="14"/>
        <v>42064</v>
      </c>
      <c r="F84" s="9">
        <f t="shared" si="10"/>
        <v>42069</v>
      </c>
      <c r="G84" s="1">
        <f t="shared" si="9"/>
        <v>2015</v>
      </c>
      <c r="H84" s="2" t="str">
        <f t="shared" si="15"/>
        <v/>
      </c>
      <c r="I84" s="2" t="str">
        <f t="shared" si="11"/>
        <v>March</v>
      </c>
      <c r="J84" s="2" t="str">
        <f t="shared" si="16"/>
        <v>Sun</v>
      </c>
      <c r="K84" s="2" t="str">
        <f t="shared" si="12"/>
        <v>20155</v>
      </c>
    </row>
    <row r="85" spans="3:11" x14ac:dyDescent="0.2">
      <c r="C85" s="2">
        <v>6</v>
      </c>
      <c r="D85" s="9">
        <f t="shared" si="13"/>
        <v>42065</v>
      </c>
      <c r="E85" s="9">
        <f t="shared" si="14"/>
        <v>42078</v>
      </c>
      <c r="F85" s="9">
        <f t="shared" si="10"/>
        <v>42083</v>
      </c>
      <c r="G85" s="1">
        <f t="shared" si="9"/>
        <v>2015</v>
      </c>
      <c r="H85" s="2" t="str">
        <f t="shared" si="15"/>
        <v/>
      </c>
      <c r="I85" s="2" t="str">
        <f t="shared" si="11"/>
        <v>March</v>
      </c>
      <c r="J85" s="2" t="str">
        <f t="shared" si="16"/>
        <v/>
      </c>
      <c r="K85" s="2" t="str">
        <f t="shared" si="12"/>
        <v>20156</v>
      </c>
    </row>
    <row r="86" spans="3:11" x14ac:dyDescent="0.2">
      <c r="C86" s="2">
        <v>7</v>
      </c>
      <c r="D86" s="9">
        <f t="shared" si="13"/>
        <v>42079</v>
      </c>
      <c r="E86" s="9">
        <f t="shared" si="14"/>
        <v>42092</v>
      </c>
      <c r="F86" s="9">
        <f t="shared" si="10"/>
        <v>42097</v>
      </c>
      <c r="G86" s="1">
        <f t="shared" si="9"/>
        <v>2015</v>
      </c>
      <c r="H86" s="2" t="str">
        <f t="shared" si="15"/>
        <v/>
      </c>
      <c r="I86" s="2" t="str">
        <f t="shared" si="11"/>
        <v>April</v>
      </c>
      <c r="J86" s="2" t="str">
        <f t="shared" si="16"/>
        <v/>
      </c>
      <c r="K86" s="2" t="str">
        <f t="shared" si="12"/>
        <v>20157</v>
      </c>
    </row>
    <row r="87" spans="3:11" x14ac:dyDescent="0.2">
      <c r="C87" s="2">
        <v>8</v>
      </c>
      <c r="D87" s="9">
        <f t="shared" si="13"/>
        <v>42093</v>
      </c>
      <c r="E87" s="9">
        <f t="shared" si="14"/>
        <v>42106</v>
      </c>
      <c r="F87" s="9">
        <f t="shared" si="10"/>
        <v>42111</v>
      </c>
      <c r="G87" s="1">
        <f t="shared" si="9"/>
        <v>2015</v>
      </c>
      <c r="H87" s="2" t="str">
        <f t="shared" si="15"/>
        <v/>
      </c>
      <c r="I87" s="2" t="str">
        <f t="shared" si="11"/>
        <v>April</v>
      </c>
      <c r="J87" s="2" t="str">
        <f t="shared" si="16"/>
        <v>Wed</v>
      </c>
      <c r="K87" s="2" t="str">
        <f t="shared" si="12"/>
        <v>20158</v>
      </c>
    </row>
    <row r="88" spans="3:11" x14ac:dyDescent="0.2">
      <c r="C88" s="2">
        <v>9</v>
      </c>
      <c r="D88" s="9">
        <f t="shared" si="13"/>
        <v>42107</v>
      </c>
      <c r="E88" s="9">
        <f t="shared" si="14"/>
        <v>42120</v>
      </c>
      <c r="F88" s="9">
        <f t="shared" si="10"/>
        <v>42125</v>
      </c>
      <c r="G88" s="1">
        <f t="shared" si="9"/>
        <v>2015</v>
      </c>
      <c r="H88" s="2" t="str">
        <f t="shared" si="15"/>
        <v/>
      </c>
      <c r="I88" s="2" t="str">
        <f t="shared" si="11"/>
        <v>May</v>
      </c>
      <c r="J88" s="2" t="str">
        <f t="shared" si="16"/>
        <v/>
      </c>
      <c r="K88" s="2" t="str">
        <f t="shared" si="12"/>
        <v>20159</v>
      </c>
    </row>
    <row r="89" spans="3:11" x14ac:dyDescent="0.2">
      <c r="C89" s="2">
        <v>10</v>
      </c>
      <c r="D89" s="9">
        <f t="shared" si="13"/>
        <v>42121</v>
      </c>
      <c r="E89" s="9">
        <f t="shared" si="14"/>
        <v>42134</v>
      </c>
      <c r="F89" s="9">
        <f t="shared" si="10"/>
        <v>42139</v>
      </c>
      <c r="G89" s="1">
        <f t="shared" si="9"/>
        <v>2015</v>
      </c>
      <c r="H89" s="2" t="str">
        <f t="shared" si="15"/>
        <v/>
      </c>
      <c r="I89" s="2" t="str">
        <f t="shared" si="11"/>
        <v>May</v>
      </c>
      <c r="J89" s="2" t="str">
        <f t="shared" si="16"/>
        <v>Fri</v>
      </c>
      <c r="K89" s="2" t="str">
        <f t="shared" si="12"/>
        <v>201510</v>
      </c>
    </row>
    <row r="90" spans="3:11" x14ac:dyDescent="0.2">
      <c r="C90" s="2">
        <v>11</v>
      </c>
      <c r="D90" s="9">
        <f t="shared" si="13"/>
        <v>42135</v>
      </c>
      <c r="E90" s="9">
        <f t="shared" si="14"/>
        <v>42148</v>
      </c>
      <c r="F90" s="9">
        <f t="shared" si="10"/>
        <v>42153</v>
      </c>
      <c r="G90" s="1">
        <f t="shared" si="9"/>
        <v>2015</v>
      </c>
      <c r="H90" s="2" t="str">
        <f t="shared" si="15"/>
        <v/>
      </c>
      <c r="I90" s="2" t="str">
        <f t="shared" si="11"/>
        <v>May</v>
      </c>
      <c r="J90" s="2" t="str">
        <f t="shared" si="16"/>
        <v/>
      </c>
      <c r="K90" s="2" t="str">
        <f t="shared" si="12"/>
        <v>201511</v>
      </c>
    </row>
    <row r="91" spans="3:11" x14ac:dyDescent="0.2">
      <c r="C91" s="2">
        <v>12</v>
      </c>
      <c r="D91" s="9">
        <f t="shared" si="13"/>
        <v>42149</v>
      </c>
      <c r="E91" s="9">
        <f t="shared" si="14"/>
        <v>42162</v>
      </c>
      <c r="F91" s="9">
        <f t="shared" si="10"/>
        <v>42167</v>
      </c>
      <c r="G91" s="1">
        <f t="shared" si="9"/>
        <v>2015</v>
      </c>
      <c r="H91" s="2" t="str">
        <f t="shared" si="15"/>
        <v/>
      </c>
      <c r="I91" s="2" t="str">
        <f t="shared" si="11"/>
        <v>June</v>
      </c>
      <c r="J91" s="2" t="str">
        <f t="shared" si="16"/>
        <v>Mon</v>
      </c>
      <c r="K91" s="2" t="str">
        <f t="shared" si="12"/>
        <v>201512</v>
      </c>
    </row>
    <row r="92" spans="3:11" x14ac:dyDescent="0.2">
      <c r="C92" s="2">
        <v>13</v>
      </c>
      <c r="D92" s="9">
        <f t="shared" si="13"/>
        <v>42163</v>
      </c>
      <c r="E92" s="9">
        <f t="shared" si="14"/>
        <v>42176</v>
      </c>
      <c r="F92" s="9">
        <f t="shared" si="10"/>
        <v>42181</v>
      </c>
      <c r="G92" s="1">
        <f t="shared" si="9"/>
        <v>2015</v>
      </c>
      <c r="H92" s="2" t="str">
        <f t="shared" si="15"/>
        <v/>
      </c>
      <c r="I92" s="2" t="str">
        <f t="shared" si="11"/>
        <v>June</v>
      </c>
      <c r="J92" s="2" t="str">
        <f t="shared" si="16"/>
        <v/>
      </c>
      <c r="K92" s="2" t="str">
        <f t="shared" si="12"/>
        <v>201513</v>
      </c>
    </row>
    <row r="93" spans="3:11" x14ac:dyDescent="0.2">
      <c r="C93" s="2">
        <v>14</v>
      </c>
      <c r="D93" s="9">
        <f t="shared" si="13"/>
        <v>42177</v>
      </c>
      <c r="E93" s="9">
        <f t="shared" si="14"/>
        <v>42190</v>
      </c>
      <c r="F93" s="9">
        <f t="shared" si="10"/>
        <v>42195</v>
      </c>
      <c r="G93" s="1">
        <f t="shared" si="9"/>
        <v>2015</v>
      </c>
      <c r="H93" s="2" t="str">
        <f t="shared" si="15"/>
        <v/>
      </c>
      <c r="I93" s="2" t="str">
        <f t="shared" si="11"/>
        <v>July</v>
      </c>
      <c r="J93" s="2" t="str">
        <f t="shared" si="16"/>
        <v>Wed</v>
      </c>
      <c r="K93" s="2" t="str">
        <f t="shared" si="12"/>
        <v>201514</v>
      </c>
    </row>
    <row r="94" spans="3:11" x14ac:dyDescent="0.2">
      <c r="C94" s="2">
        <v>15</v>
      </c>
      <c r="D94" s="9">
        <f t="shared" si="13"/>
        <v>42191</v>
      </c>
      <c r="E94" s="9">
        <f t="shared" si="14"/>
        <v>42204</v>
      </c>
      <c r="F94" s="9">
        <f t="shared" si="10"/>
        <v>42209</v>
      </c>
      <c r="G94" s="1">
        <f t="shared" si="9"/>
        <v>2015</v>
      </c>
      <c r="H94" s="2" t="str">
        <f t="shared" si="15"/>
        <v/>
      </c>
      <c r="I94" s="2" t="str">
        <f t="shared" si="11"/>
        <v>July</v>
      </c>
      <c r="J94" s="2" t="str">
        <f t="shared" si="16"/>
        <v/>
      </c>
      <c r="K94" s="2" t="str">
        <f t="shared" si="12"/>
        <v>201515</v>
      </c>
    </row>
    <row r="95" spans="3:11" x14ac:dyDescent="0.2">
      <c r="C95" s="2">
        <v>16</v>
      </c>
      <c r="D95" s="9">
        <f t="shared" si="13"/>
        <v>42205</v>
      </c>
      <c r="E95" s="9">
        <f t="shared" si="14"/>
        <v>42218</v>
      </c>
      <c r="F95" s="9">
        <f t="shared" si="10"/>
        <v>42223</v>
      </c>
      <c r="G95" s="1">
        <f t="shared" si="9"/>
        <v>2015</v>
      </c>
      <c r="H95" s="2" t="str">
        <f t="shared" si="15"/>
        <v/>
      </c>
      <c r="I95" s="2" t="str">
        <f t="shared" si="11"/>
        <v>August</v>
      </c>
      <c r="J95" s="2" t="str">
        <f t="shared" si="16"/>
        <v>Sat</v>
      </c>
      <c r="K95" s="2" t="str">
        <f t="shared" si="12"/>
        <v>201516</v>
      </c>
    </row>
    <row r="96" spans="3:11" x14ac:dyDescent="0.2">
      <c r="C96" s="2">
        <v>17</v>
      </c>
      <c r="D96" s="9">
        <f t="shared" si="13"/>
        <v>42219</v>
      </c>
      <c r="E96" s="9">
        <f t="shared" si="14"/>
        <v>42232</v>
      </c>
      <c r="F96" s="9">
        <f t="shared" si="10"/>
        <v>42237</v>
      </c>
      <c r="G96" s="1">
        <f t="shared" si="9"/>
        <v>2015</v>
      </c>
      <c r="H96" s="2" t="str">
        <f t="shared" si="15"/>
        <v/>
      </c>
      <c r="I96" s="2" t="str">
        <f t="shared" si="11"/>
        <v>August</v>
      </c>
      <c r="J96" s="2" t="str">
        <f t="shared" si="16"/>
        <v/>
      </c>
      <c r="K96" s="2" t="str">
        <f t="shared" si="12"/>
        <v>201517</v>
      </c>
    </row>
    <row r="97" spans="3:11" x14ac:dyDescent="0.2">
      <c r="C97" s="2">
        <v>18</v>
      </c>
      <c r="D97" s="9">
        <f t="shared" si="13"/>
        <v>42233</v>
      </c>
      <c r="E97" s="9">
        <f t="shared" si="14"/>
        <v>42246</v>
      </c>
      <c r="F97" s="9">
        <f t="shared" si="10"/>
        <v>42251</v>
      </c>
      <c r="G97" s="1">
        <f t="shared" si="9"/>
        <v>2015</v>
      </c>
      <c r="H97" s="2" t="str">
        <f t="shared" si="15"/>
        <v/>
      </c>
      <c r="I97" s="2" t="str">
        <f t="shared" si="11"/>
        <v>September</v>
      </c>
      <c r="J97" s="2" t="str">
        <f t="shared" si="16"/>
        <v/>
      </c>
      <c r="K97" s="2" t="str">
        <f t="shared" si="12"/>
        <v>201518</v>
      </c>
    </row>
    <row r="98" spans="3:11" x14ac:dyDescent="0.2">
      <c r="C98" s="2">
        <v>19</v>
      </c>
      <c r="D98" s="9">
        <f t="shared" si="13"/>
        <v>42247</v>
      </c>
      <c r="E98" s="9">
        <f t="shared" si="14"/>
        <v>42260</v>
      </c>
      <c r="F98" s="9">
        <f t="shared" si="10"/>
        <v>42265</v>
      </c>
      <c r="G98" s="1">
        <f t="shared" ref="G98:G124" si="17">IF(D98&lt;DATE(2012,9,1),2012,IF(D98&lt;DATE(2013,9,1),2013,IF(D98&lt;DATE(2014,9,1),2014,IF(D98&lt;DATE(2015,9,1),2015,2016))))</f>
        <v>2015</v>
      </c>
      <c r="H98" s="2">
        <f t="shared" si="15"/>
        <v>1</v>
      </c>
      <c r="I98" s="2" t="str">
        <f t="shared" si="11"/>
        <v>September</v>
      </c>
      <c r="J98" s="2" t="str">
        <f t="shared" si="16"/>
        <v>Tue</v>
      </c>
      <c r="K98" s="2" t="str">
        <f t="shared" si="12"/>
        <v>201519</v>
      </c>
    </row>
    <row r="99" spans="3:11" x14ac:dyDescent="0.2">
      <c r="C99" s="2">
        <v>20</v>
      </c>
      <c r="D99" s="9">
        <f t="shared" si="13"/>
        <v>42261</v>
      </c>
      <c r="E99" s="9">
        <f t="shared" si="14"/>
        <v>42274</v>
      </c>
      <c r="F99" s="9">
        <f t="shared" si="10"/>
        <v>42279</v>
      </c>
      <c r="G99" s="1">
        <f t="shared" si="17"/>
        <v>2016</v>
      </c>
      <c r="H99" s="2" t="str">
        <f t="shared" si="15"/>
        <v/>
      </c>
      <c r="I99" s="2" t="str">
        <f t="shared" si="11"/>
        <v>October</v>
      </c>
      <c r="J99" s="2" t="str">
        <f t="shared" si="16"/>
        <v/>
      </c>
      <c r="K99" s="2" t="str">
        <f t="shared" si="12"/>
        <v>201620</v>
      </c>
    </row>
    <row r="100" spans="3:11" x14ac:dyDescent="0.2">
      <c r="C100" s="2">
        <v>21</v>
      </c>
      <c r="D100" s="9">
        <f t="shared" si="13"/>
        <v>42275</v>
      </c>
      <c r="E100" s="9">
        <f t="shared" si="14"/>
        <v>42288</v>
      </c>
      <c r="F100" s="9">
        <f t="shared" si="10"/>
        <v>42293</v>
      </c>
      <c r="G100" s="1">
        <f t="shared" si="17"/>
        <v>2016</v>
      </c>
      <c r="H100" s="2" t="str">
        <f t="shared" si="15"/>
        <v/>
      </c>
      <c r="I100" s="2" t="str">
        <f t="shared" si="11"/>
        <v>October</v>
      </c>
      <c r="J100" s="2" t="str">
        <f t="shared" si="16"/>
        <v>Sat</v>
      </c>
      <c r="K100" s="2" t="str">
        <f t="shared" si="12"/>
        <v>201621</v>
      </c>
    </row>
    <row r="101" spans="3:11" x14ac:dyDescent="0.2">
      <c r="C101" s="2">
        <v>22</v>
      </c>
      <c r="D101" s="9">
        <f t="shared" si="13"/>
        <v>42289</v>
      </c>
      <c r="E101" s="9">
        <f t="shared" si="14"/>
        <v>42302</v>
      </c>
      <c r="F101" s="9">
        <f t="shared" si="10"/>
        <v>42307</v>
      </c>
      <c r="G101" s="1">
        <f t="shared" si="17"/>
        <v>2016</v>
      </c>
      <c r="H101" s="2" t="str">
        <f t="shared" si="15"/>
        <v/>
      </c>
      <c r="I101" s="2" t="str">
        <f t="shared" si="11"/>
        <v>October</v>
      </c>
      <c r="J101" s="2" t="str">
        <f t="shared" si="16"/>
        <v/>
      </c>
      <c r="K101" s="2" t="str">
        <f t="shared" si="12"/>
        <v>201622</v>
      </c>
    </row>
    <row r="102" spans="3:11" x14ac:dyDescent="0.2">
      <c r="C102" s="2">
        <v>23</v>
      </c>
      <c r="D102" s="9">
        <f t="shared" si="13"/>
        <v>42303</v>
      </c>
      <c r="E102" s="9">
        <f t="shared" si="14"/>
        <v>42316</v>
      </c>
      <c r="F102" s="9">
        <f t="shared" si="10"/>
        <v>42321</v>
      </c>
      <c r="G102" s="1">
        <f t="shared" si="17"/>
        <v>2016</v>
      </c>
      <c r="H102" s="2" t="str">
        <f t="shared" si="15"/>
        <v/>
      </c>
      <c r="I102" s="2" t="str">
        <f t="shared" si="11"/>
        <v>November</v>
      </c>
      <c r="J102" s="2" t="str">
        <f t="shared" si="16"/>
        <v>Tue</v>
      </c>
      <c r="K102" s="2" t="str">
        <f t="shared" si="12"/>
        <v>201623</v>
      </c>
    </row>
    <row r="103" spans="3:11" x14ac:dyDescent="0.2">
      <c r="C103" s="2">
        <v>24</v>
      </c>
      <c r="D103" s="9">
        <f t="shared" si="13"/>
        <v>42317</v>
      </c>
      <c r="E103" s="9">
        <f t="shared" si="14"/>
        <v>42330</v>
      </c>
      <c r="F103" s="9">
        <f t="shared" si="10"/>
        <v>42335</v>
      </c>
      <c r="G103" s="1">
        <f t="shared" si="17"/>
        <v>2016</v>
      </c>
      <c r="H103" s="2" t="str">
        <f t="shared" si="15"/>
        <v/>
      </c>
      <c r="I103" s="2" t="str">
        <f t="shared" si="11"/>
        <v>November</v>
      </c>
      <c r="J103" s="2" t="str">
        <f t="shared" si="16"/>
        <v/>
      </c>
      <c r="K103" s="2" t="str">
        <f t="shared" si="12"/>
        <v>201624</v>
      </c>
    </row>
    <row r="104" spans="3:11" x14ac:dyDescent="0.2">
      <c r="C104" s="2">
        <v>25</v>
      </c>
      <c r="D104" s="9">
        <f t="shared" si="13"/>
        <v>42331</v>
      </c>
      <c r="E104" s="9">
        <f t="shared" si="14"/>
        <v>42344</v>
      </c>
      <c r="F104" s="9">
        <f t="shared" si="10"/>
        <v>42349</v>
      </c>
      <c r="G104" s="1">
        <f t="shared" si="17"/>
        <v>2016</v>
      </c>
      <c r="H104" s="2" t="str">
        <f t="shared" si="15"/>
        <v/>
      </c>
      <c r="I104" s="2" t="str">
        <f t="shared" si="11"/>
        <v>December</v>
      </c>
      <c r="J104" s="2" t="str">
        <f t="shared" si="16"/>
        <v>Thu</v>
      </c>
      <c r="K104" s="2" t="str">
        <f t="shared" si="12"/>
        <v>201625</v>
      </c>
    </row>
    <row r="105" spans="3:11" x14ac:dyDescent="0.2">
      <c r="C105" s="2">
        <v>26</v>
      </c>
      <c r="D105" s="9">
        <f t="shared" si="13"/>
        <v>42345</v>
      </c>
      <c r="E105" s="9">
        <f t="shared" si="14"/>
        <v>42358</v>
      </c>
      <c r="F105" s="9">
        <f t="shared" si="10"/>
        <v>42363</v>
      </c>
      <c r="G105" s="1">
        <f t="shared" si="17"/>
        <v>2016</v>
      </c>
      <c r="H105" s="2" t="str">
        <f t="shared" si="15"/>
        <v/>
      </c>
      <c r="I105" s="2" t="str">
        <f t="shared" si="11"/>
        <v>December</v>
      </c>
      <c r="J105" s="2" t="str">
        <f t="shared" si="16"/>
        <v/>
      </c>
      <c r="K105" s="2" t="str">
        <f t="shared" si="12"/>
        <v>201626</v>
      </c>
    </row>
    <row r="106" spans="3:11" x14ac:dyDescent="0.2">
      <c r="C106" s="2">
        <v>1</v>
      </c>
      <c r="D106" s="9">
        <f t="shared" si="13"/>
        <v>42359</v>
      </c>
      <c r="E106" s="9">
        <f t="shared" si="14"/>
        <v>42372</v>
      </c>
      <c r="F106" s="9">
        <f t="shared" si="10"/>
        <v>42377</v>
      </c>
      <c r="G106" s="1">
        <f t="shared" si="17"/>
        <v>2016</v>
      </c>
      <c r="H106" s="2" t="str">
        <f t="shared" si="15"/>
        <v/>
      </c>
      <c r="I106" s="2" t="str">
        <f t="shared" si="11"/>
        <v>January</v>
      </c>
      <c r="J106" s="2" t="str">
        <f t="shared" si="16"/>
        <v>Fri</v>
      </c>
      <c r="K106" s="2" t="str">
        <f t="shared" si="12"/>
        <v>20161</v>
      </c>
    </row>
    <row r="107" spans="3:11" x14ac:dyDescent="0.2">
      <c r="C107" s="2">
        <v>2</v>
      </c>
      <c r="D107" s="9">
        <f t="shared" si="13"/>
        <v>42373</v>
      </c>
      <c r="E107" s="9">
        <f t="shared" si="14"/>
        <v>42386</v>
      </c>
      <c r="F107" s="9">
        <f t="shared" si="10"/>
        <v>42391</v>
      </c>
      <c r="G107" s="1">
        <f t="shared" si="17"/>
        <v>2016</v>
      </c>
      <c r="H107" s="2" t="str">
        <f t="shared" si="15"/>
        <v/>
      </c>
      <c r="I107" s="2" t="str">
        <f t="shared" si="11"/>
        <v>January</v>
      </c>
      <c r="J107" s="2" t="str">
        <f t="shared" si="16"/>
        <v/>
      </c>
      <c r="K107" s="2" t="str">
        <f t="shared" si="12"/>
        <v>20162</v>
      </c>
    </row>
    <row r="108" spans="3:11" x14ac:dyDescent="0.2">
      <c r="C108" s="2">
        <v>3</v>
      </c>
      <c r="D108" s="9">
        <f t="shared" si="13"/>
        <v>42387</v>
      </c>
      <c r="E108" s="9">
        <f t="shared" si="14"/>
        <v>42400</v>
      </c>
      <c r="F108" s="9">
        <f t="shared" si="10"/>
        <v>42405</v>
      </c>
      <c r="G108" s="1">
        <f t="shared" si="17"/>
        <v>2016</v>
      </c>
      <c r="H108" s="2" t="str">
        <f t="shared" si="15"/>
        <v/>
      </c>
      <c r="I108" s="2" t="str">
        <f t="shared" si="11"/>
        <v>February</v>
      </c>
      <c r="J108" s="2" t="str">
        <f t="shared" si="16"/>
        <v/>
      </c>
      <c r="K108" s="2" t="str">
        <f t="shared" si="12"/>
        <v>20163</v>
      </c>
    </row>
    <row r="109" spans="3:11" x14ac:dyDescent="0.2">
      <c r="C109" s="2">
        <v>4</v>
      </c>
      <c r="D109" s="9">
        <f t="shared" si="13"/>
        <v>42401</v>
      </c>
      <c r="E109" s="9">
        <f t="shared" si="14"/>
        <v>42414</v>
      </c>
      <c r="F109" s="9">
        <f t="shared" si="10"/>
        <v>42419</v>
      </c>
      <c r="G109" s="1">
        <f t="shared" si="17"/>
        <v>2016</v>
      </c>
      <c r="H109" s="2" t="str">
        <f t="shared" si="15"/>
        <v/>
      </c>
      <c r="I109" s="2" t="str">
        <f t="shared" si="11"/>
        <v>February</v>
      </c>
      <c r="J109" s="2" t="str">
        <f t="shared" si="16"/>
        <v>Mon</v>
      </c>
      <c r="K109" s="2" t="str">
        <f t="shared" si="12"/>
        <v>20164</v>
      </c>
    </row>
    <row r="110" spans="3:11" x14ac:dyDescent="0.2">
      <c r="C110" s="2">
        <v>5</v>
      </c>
      <c r="D110" s="9">
        <f t="shared" si="13"/>
        <v>42415</v>
      </c>
      <c r="E110" s="9">
        <f t="shared" si="14"/>
        <v>42428</v>
      </c>
      <c r="F110" s="9">
        <f t="shared" si="10"/>
        <v>42433</v>
      </c>
      <c r="G110" s="1">
        <f t="shared" si="17"/>
        <v>2016</v>
      </c>
      <c r="H110" s="2" t="str">
        <f t="shared" si="15"/>
        <v/>
      </c>
      <c r="I110" s="2" t="str">
        <f t="shared" si="11"/>
        <v>March</v>
      </c>
      <c r="J110" s="2" t="str">
        <f t="shared" si="16"/>
        <v/>
      </c>
      <c r="K110" s="2" t="str">
        <f t="shared" si="12"/>
        <v>20165</v>
      </c>
    </row>
    <row r="111" spans="3:11" x14ac:dyDescent="0.2">
      <c r="C111" s="2">
        <v>6</v>
      </c>
      <c r="D111" s="9">
        <f t="shared" si="13"/>
        <v>42429</v>
      </c>
      <c r="E111" s="9">
        <f t="shared" si="14"/>
        <v>42442</v>
      </c>
      <c r="F111" s="9">
        <f t="shared" si="10"/>
        <v>42447</v>
      </c>
      <c r="G111" s="1">
        <f t="shared" si="17"/>
        <v>2016</v>
      </c>
      <c r="H111" s="2" t="str">
        <f t="shared" si="15"/>
        <v/>
      </c>
      <c r="I111" s="2" t="str">
        <f t="shared" si="11"/>
        <v>March</v>
      </c>
      <c r="J111" s="2" t="str">
        <f t="shared" si="16"/>
        <v>Tue</v>
      </c>
      <c r="K111" s="2" t="str">
        <f t="shared" si="12"/>
        <v>20166</v>
      </c>
    </row>
    <row r="112" spans="3:11" x14ac:dyDescent="0.2">
      <c r="C112" s="2">
        <v>7</v>
      </c>
      <c r="D112" s="9">
        <f t="shared" si="13"/>
        <v>42443</v>
      </c>
      <c r="E112" s="9">
        <f t="shared" si="14"/>
        <v>42456</v>
      </c>
      <c r="F112" s="9">
        <f t="shared" si="10"/>
        <v>42461</v>
      </c>
      <c r="G112" s="1">
        <f t="shared" si="17"/>
        <v>2016</v>
      </c>
      <c r="H112" s="2" t="str">
        <f t="shared" si="15"/>
        <v/>
      </c>
      <c r="I112" s="2" t="str">
        <f t="shared" si="11"/>
        <v>April</v>
      </c>
      <c r="J112" s="2" t="str">
        <f t="shared" si="16"/>
        <v/>
      </c>
      <c r="K112" s="2" t="str">
        <f t="shared" si="12"/>
        <v>20167</v>
      </c>
    </row>
    <row r="113" spans="3:11" x14ac:dyDescent="0.2">
      <c r="C113" s="2">
        <v>8</v>
      </c>
      <c r="D113" s="9">
        <f t="shared" si="13"/>
        <v>42457</v>
      </c>
      <c r="E113" s="9">
        <f t="shared" si="14"/>
        <v>42470</v>
      </c>
      <c r="F113" s="9">
        <f t="shared" si="10"/>
        <v>42475</v>
      </c>
      <c r="G113" s="1">
        <f t="shared" si="17"/>
        <v>2016</v>
      </c>
      <c r="H113" s="2" t="str">
        <f t="shared" si="15"/>
        <v/>
      </c>
      <c r="I113" s="2" t="str">
        <f t="shared" si="11"/>
        <v>April</v>
      </c>
      <c r="J113" s="2" t="str">
        <f t="shared" si="16"/>
        <v>Fri</v>
      </c>
      <c r="K113" s="2" t="str">
        <f t="shared" si="12"/>
        <v>20168</v>
      </c>
    </row>
    <row r="114" spans="3:11" x14ac:dyDescent="0.2">
      <c r="C114" s="2">
        <v>9</v>
      </c>
      <c r="D114" s="9">
        <f t="shared" si="13"/>
        <v>42471</v>
      </c>
      <c r="E114" s="9">
        <f t="shared" si="14"/>
        <v>42484</v>
      </c>
      <c r="F114" s="9">
        <f t="shared" si="10"/>
        <v>42489</v>
      </c>
      <c r="G114" s="1">
        <f t="shared" si="17"/>
        <v>2016</v>
      </c>
      <c r="H114" s="2" t="str">
        <f t="shared" si="15"/>
        <v/>
      </c>
      <c r="I114" s="2" t="str">
        <f t="shared" si="11"/>
        <v>April</v>
      </c>
      <c r="J114" s="2" t="str">
        <f t="shared" si="16"/>
        <v/>
      </c>
      <c r="K114" s="2" t="str">
        <f t="shared" si="12"/>
        <v>20169</v>
      </c>
    </row>
    <row r="115" spans="3:11" x14ac:dyDescent="0.2">
      <c r="C115" s="2">
        <v>10</v>
      </c>
      <c r="D115" s="9">
        <f t="shared" si="13"/>
        <v>42485</v>
      </c>
      <c r="E115" s="9">
        <f t="shared" si="14"/>
        <v>42498</v>
      </c>
      <c r="F115" s="9">
        <f t="shared" si="10"/>
        <v>42503</v>
      </c>
      <c r="G115" s="1">
        <f t="shared" si="17"/>
        <v>2016</v>
      </c>
      <c r="H115" s="2" t="str">
        <f t="shared" si="15"/>
        <v/>
      </c>
      <c r="I115" s="2" t="str">
        <f t="shared" si="11"/>
        <v>May</v>
      </c>
      <c r="J115" s="2" t="str">
        <f t="shared" si="16"/>
        <v>Sun</v>
      </c>
      <c r="K115" s="2" t="str">
        <f t="shared" si="12"/>
        <v>201610</v>
      </c>
    </row>
    <row r="116" spans="3:11" x14ac:dyDescent="0.2">
      <c r="C116" s="2">
        <v>11</v>
      </c>
      <c r="D116" s="9">
        <f t="shared" si="13"/>
        <v>42499</v>
      </c>
      <c r="E116" s="9">
        <f t="shared" si="14"/>
        <v>42512</v>
      </c>
      <c r="F116" s="9">
        <f t="shared" si="10"/>
        <v>42517</v>
      </c>
      <c r="G116" s="1">
        <f t="shared" si="17"/>
        <v>2016</v>
      </c>
      <c r="H116" s="2" t="str">
        <f t="shared" si="15"/>
        <v/>
      </c>
      <c r="I116" s="2" t="str">
        <f t="shared" si="11"/>
        <v>May</v>
      </c>
      <c r="J116" s="2" t="str">
        <f t="shared" si="16"/>
        <v/>
      </c>
      <c r="K116" s="2" t="str">
        <f t="shared" si="12"/>
        <v>201611</v>
      </c>
    </row>
    <row r="117" spans="3:11" x14ac:dyDescent="0.2">
      <c r="C117" s="2">
        <v>12</v>
      </c>
      <c r="D117" s="9">
        <f t="shared" si="13"/>
        <v>42513</v>
      </c>
      <c r="E117" s="9">
        <f t="shared" si="14"/>
        <v>42526</v>
      </c>
      <c r="F117" s="9">
        <f t="shared" si="10"/>
        <v>42531</v>
      </c>
      <c r="G117" s="1">
        <f t="shared" si="17"/>
        <v>2016</v>
      </c>
      <c r="H117" s="2" t="str">
        <f t="shared" si="15"/>
        <v/>
      </c>
      <c r="I117" s="2" t="str">
        <f t="shared" si="11"/>
        <v>June</v>
      </c>
      <c r="J117" s="2" t="str">
        <f t="shared" si="16"/>
        <v>Wed</v>
      </c>
      <c r="K117" s="2" t="str">
        <f t="shared" si="12"/>
        <v>201612</v>
      </c>
    </row>
    <row r="118" spans="3:11" x14ac:dyDescent="0.2">
      <c r="C118" s="2">
        <v>13</v>
      </c>
      <c r="D118" s="9">
        <f t="shared" si="13"/>
        <v>42527</v>
      </c>
      <c r="E118" s="9">
        <f t="shared" si="14"/>
        <v>42540</v>
      </c>
      <c r="F118" s="9">
        <f t="shared" si="10"/>
        <v>42545</v>
      </c>
      <c r="G118" s="1">
        <f t="shared" si="17"/>
        <v>2016</v>
      </c>
      <c r="H118" s="2" t="str">
        <f t="shared" si="15"/>
        <v/>
      </c>
      <c r="I118" s="2" t="str">
        <f t="shared" si="11"/>
        <v>June</v>
      </c>
      <c r="J118" s="2" t="str">
        <f t="shared" si="16"/>
        <v/>
      </c>
      <c r="K118" s="2" t="str">
        <f t="shared" si="12"/>
        <v>201613</v>
      </c>
    </row>
    <row r="119" spans="3:11" x14ac:dyDescent="0.2">
      <c r="C119" s="2">
        <v>14</v>
      </c>
      <c r="D119" s="9">
        <f t="shared" si="13"/>
        <v>42541</v>
      </c>
      <c r="E119" s="9">
        <f t="shared" si="14"/>
        <v>42554</v>
      </c>
      <c r="F119" s="9">
        <f t="shared" si="10"/>
        <v>42559</v>
      </c>
      <c r="G119" s="1">
        <f t="shared" si="17"/>
        <v>2016</v>
      </c>
      <c r="I119" s="2" t="str">
        <f t="shared" si="11"/>
        <v>July</v>
      </c>
      <c r="J119" s="2" t="str">
        <f t="shared" si="16"/>
        <v>Fri</v>
      </c>
      <c r="K119" s="2" t="str">
        <f t="shared" si="12"/>
        <v>201614</v>
      </c>
    </row>
    <row r="120" spans="3:11" x14ac:dyDescent="0.2">
      <c r="C120" s="2">
        <v>15</v>
      </c>
      <c r="D120" s="9">
        <f t="shared" si="13"/>
        <v>42555</v>
      </c>
      <c r="E120" s="9">
        <f t="shared" si="14"/>
        <v>42568</v>
      </c>
      <c r="F120" s="9">
        <f t="shared" si="10"/>
        <v>42573</v>
      </c>
      <c r="G120" s="1">
        <f t="shared" si="17"/>
        <v>2016</v>
      </c>
      <c r="I120" s="2" t="str">
        <f t="shared" si="11"/>
        <v>July</v>
      </c>
      <c r="J120" s="2" t="str">
        <f t="shared" si="16"/>
        <v/>
      </c>
      <c r="K120" s="2" t="str">
        <f t="shared" si="12"/>
        <v>201615</v>
      </c>
    </row>
    <row r="121" spans="3:11" x14ac:dyDescent="0.2">
      <c r="C121" s="2">
        <v>16</v>
      </c>
      <c r="D121" s="9">
        <f t="shared" si="13"/>
        <v>42569</v>
      </c>
      <c r="E121" s="9">
        <f t="shared" si="14"/>
        <v>42582</v>
      </c>
      <c r="F121" s="9">
        <f t="shared" si="10"/>
        <v>42587</v>
      </c>
      <c r="G121" s="1">
        <f t="shared" si="17"/>
        <v>2016</v>
      </c>
      <c r="I121" s="2" t="str">
        <f t="shared" si="11"/>
        <v>August</v>
      </c>
      <c r="J121" s="2" t="str">
        <f t="shared" si="16"/>
        <v/>
      </c>
      <c r="K121" s="2" t="str">
        <f t="shared" si="12"/>
        <v>201616</v>
      </c>
    </row>
    <row r="122" spans="3:11" x14ac:dyDescent="0.2">
      <c r="C122" s="2">
        <v>17</v>
      </c>
      <c r="D122" s="9">
        <f t="shared" si="13"/>
        <v>42583</v>
      </c>
      <c r="E122" s="9">
        <f t="shared" si="14"/>
        <v>42596</v>
      </c>
      <c r="F122" s="9">
        <f t="shared" si="10"/>
        <v>42601</v>
      </c>
      <c r="G122" s="1">
        <f t="shared" si="17"/>
        <v>2016</v>
      </c>
      <c r="I122" s="2" t="str">
        <f t="shared" si="11"/>
        <v>August</v>
      </c>
      <c r="J122" s="2" t="str">
        <f t="shared" si="16"/>
        <v>Mon</v>
      </c>
      <c r="K122" s="2" t="str">
        <f t="shared" si="12"/>
        <v>201617</v>
      </c>
    </row>
    <row r="123" spans="3:11" x14ac:dyDescent="0.2">
      <c r="C123" s="2">
        <v>18</v>
      </c>
      <c r="D123" s="9">
        <f t="shared" si="13"/>
        <v>42597</v>
      </c>
      <c r="E123" s="9">
        <f t="shared" si="14"/>
        <v>42610</v>
      </c>
      <c r="F123" s="9">
        <f t="shared" si="10"/>
        <v>42615</v>
      </c>
      <c r="G123" s="1">
        <f t="shared" si="17"/>
        <v>2016</v>
      </c>
      <c r="I123" s="2" t="str">
        <f t="shared" si="11"/>
        <v>September</v>
      </c>
      <c r="J123" s="2" t="str">
        <f t="shared" si="16"/>
        <v/>
      </c>
      <c r="K123" s="2" t="str">
        <f t="shared" si="12"/>
        <v>201618</v>
      </c>
    </row>
    <row r="124" spans="3:11" x14ac:dyDescent="0.2">
      <c r="C124" s="2">
        <v>19</v>
      </c>
      <c r="D124" s="9">
        <f t="shared" si="13"/>
        <v>42611</v>
      </c>
      <c r="E124" s="9">
        <f t="shared" si="14"/>
        <v>42624</v>
      </c>
      <c r="F124" s="9">
        <f t="shared" si="10"/>
        <v>42629</v>
      </c>
      <c r="G124" s="1">
        <f t="shared" si="17"/>
        <v>2016</v>
      </c>
      <c r="I124" s="2" t="str">
        <f t="shared" si="11"/>
        <v>September</v>
      </c>
      <c r="J124" s="2" t="str">
        <f t="shared" si="16"/>
        <v>Thu</v>
      </c>
      <c r="K124" s="2" t="str">
        <f t="shared" si="12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A2:A8">
    <sortCondition ref="A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39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MAIN</vt:lpstr>
      <vt:lpstr>FY14-19</vt:lpstr>
      <vt:lpstr>FY14-18</vt:lpstr>
      <vt:lpstr>FY13-17</vt:lpstr>
      <vt:lpstr>FY13-16</vt:lpstr>
      <vt:lpstr>FY13-15</vt:lpstr>
      <vt:lpstr>FY13-14</vt:lpstr>
      <vt:lpstr>FY13-13</vt:lpstr>
      <vt:lpstr>FY13-12</vt:lpstr>
      <vt:lpstr>FY13-11</vt:lpstr>
      <vt:lpstr>FY13-10</vt:lpstr>
      <vt:lpstr>FY13-09</vt:lpstr>
      <vt:lpstr>FY13-08</vt:lpstr>
      <vt:lpstr>FY13-07</vt:lpstr>
      <vt:lpstr>FY13-06</vt:lpstr>
      <vt:lpstr>FY13-05</vt:lpstr>
      <vt:lpstr>FY13-04</vt:lpstr>
      <vt:lpstr>FY13-03</vt:lpstr>
      <vt:lpstr>FY13-02</vt:lpstr>
      <vt:lpstr>FY13-01</vt:lpstr>
      <vt:lpstr>FY13-26</vt:lpstr>
      <vt:lpstr>FY13-25</vt:lpstr>
      <vt:lpstr>FY13-24</vt:lpstr>
      <vt:lpstr>FY13-23</vt:lpstr>
      <vt:lpstr>FY13-22</vt:lpstr>
      <vt:lpstr>FY13-21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2013-09-18T18:11:14Z</dcterms:modified>
</cp:coreProperties>
</file>