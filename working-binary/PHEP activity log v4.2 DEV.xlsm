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813"/>
  </bookViews>
  <sheets>
    <sheet name="MAIN" sheetId="3" r:id="rId1"/>
    <sheet name="FY13-04" sheetId="11" r:id="rId2"/>
    <sheet name="FY13-30" sheetId="10" r:id="rId3"/>
    <sheet name="FY13-21" sheetId="6" r:id="rId4"/>
    <sheet name="FY13-22" sheetId="8" r:id="rId5"/>
    <sheet name="FY13-23" sheetId="9" r:id="rId6"/>
    <sheet name="FY13-20" sheetId="7" r:id="rId7"/>
    <sheet name="FY13-19" sheetId="1" r:id="rId8"/>
    <sheet name="Refs" sheetId="2" r:id="rId9"/>
    <sheet name="templatesheet" sheetId="4" r:id="rId10"/>
    <sheet name="reporttemplatesheet" sheetId="5" r:id="rId11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W3" i="2" l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G2" i="2" l="1"/>
  <c r="D3" i="2"/>
  <c r="E3" i="2" s="1"/>
  <c r="F2" i="2"/>
  <c r="I2" i="2" s="1"/>
  <c r="H2" i="2" l="1"/>
  <c r="J3" i="2"/>
  <c r="K2" i="2"/>
  <c r="J2" i="2"/>
  <c r="G3" i="2"/>
  <c r="K3" i="2" s="1"/>
  <c r="F3" i="2"/>
  <c r="I3" i="2" s="1"/>
  <c r="D4" i="2"/>
  <c r="H3" i="2"/>
  <c r="E4" i="2" l="1"/>
  <c r="D5" i="2" l="1"/>
  <c r="G4" i="2"/>
  <c r="K4" i="2" s="1"/>
  <c r="F4" i="2"/>
  <c r="I4" i="2" s="1"/>
  <c r="H4" i="2"/>
  <c r="J4" i="2" l="1"/>
  <c r="E5" i="2"/>
  <c r="J5" i="2" l="1"/>
  <c r="D6" i="2"/>
  <c r="G5" i="2"/>
  <c r="K5" i="2" s="1"/>
  <c r="F5" i="2"/>
  <c r="I5" i="2" s="1"/>
  <c r="H5" i="2"/>
  <c r="E6" i="2" l="1"/>
  <c r="H6" i="2" s="1"/>
  <c r="D7" i="2" l="1"/>
  <c r="G6" i="2"/>
  <c r="K6" i="2" s="1"/>
  <c r="F6" i="2"/>
  <c r="I6" i="2" s="1"/>
  <c r="J6" i="2" l="1"/>
  <c r="E7" i="2"/>
  <c r="J7" i="2" l="1"/>
  <c r="D8" i="2"/>
  <c r="G7" i="2"/>
  <c r="K7" i="2" s="1"/>
  <c r="F7" i="2"/>
  <c r="I7" i="2" s="1"/>
  <c r="H7" i="2"/>
  <c r="E8" i="2" l="1"/>
  <c r="H8" i="2" l="1"/>
  <c r="D9" i="2"/>
  <c r="G8" i="2"/>
  <c r="K8" i="2" s="1"/>
  <c r="F8" i="2"/>
  <c r="I8" i="2" s="1"/>
  <c r="J8" i="2" l="1"/>
  <c r="E9" i="2"/>
  <c r="J9" i="2" l="1"/>
  <c r="D10" i="2"/>
  <c r="G9" i="2"/>
  <c r="K9" i="2" s="1"/>
  <c r="F9" i="2"/>
  <c r="I9" i="2" s="1"/>
  <c r="H9" i="2"/>
  <c r="E10" i="2" l="1"/>
  <c r="H10" i="2" s="1"/>
  <c r="J10" i="2" l="1"/>
  <c r="D11" i="2"/>
  <c r="G10" i="2"/>
  <c r="K10" i="2" s="1"/>
  <c r="F10" i="2"/>
  <c r="I10" i="2" s="1"/>
  <c r="E11" i="2" l="1"/>
  <c r="D12" i="2" l="1"/>
  <c r="G11" i="2"/>
  <c r="K11" i="2" s="1"/>
  <c r="F11" i="2"/>
  <c r="I11" i="2" s="1"/>
  <c r="H11" i="2"/>
  <c r="J11" i="2" l="1"/>
  <c r="E12" i="2"/>
  <c r="H12" i="2" l="1"/>
  <c r="J12" i="2"/>
  <c r="D13" i="2"/>
  <c r="G12" i="2"/>
  <c r="K12" i="2" s="1"/>
  <c r="F12" i="2"/>
  <c r="I12" i="2" s="1"/>
  <c r="E13" i="2" l="1"/>
  <c r="H13" i="2" s="1"/>
  <c r="D14" i="2" l="1"/>
  <c r="G13" i="2"/>
  <c r="K13" i="2" s="1"/>
  <c r="F13" i="2"/>
  <c r="I13" i="2" s="1"/>
  <c r="J13" i="2" l="1"/>
  <c r="E14" i="2"/>
  <c r="H14" i="2" l="1"/>
  <c r="J14" i="2"/>
  <c r="D15" i="2"/>
  <c r="G14" i="2"/>
  <c r="K14" i="2" s="1"/>
  <c r="F14" i="2"/>
  <c r="I14" i="2" s="1"/>
  <c r="E15" i="2" l="1"/>
  <c r="H15" i="2" l="1"/>
  <c r="D16" i="2"/>
  <c r="G15" i="2"/>
  <c r="K15" i="2" s="1"/>
  <c r="F15" i="2"/>
  <c r="I15" i="2" s="1"/>
  <c r="J15" i="2" l="1"/>
  <c r="E16" i="2"/>
  <c r="H16" i="2" l="1"/>
  <c r="J16" i="2"/>
  <c r="D17" i="2"/>
  <c r="F16" i="2"/>
  <c r="I16" i="2" s="1"/>
  <c r="G16" i="2"/>
  <c r="K16" i="2" s="1"/>
  <c r="E17" i="2" l="1"/>
  <c r="H17" i="2" l="1"/>
  <c r="D18" i="2"/>
  <c r="G17" i="2"/>
  <c r="K17" i="2" s="1"/>
  <c r="F17" i="2"/>
  <c r="I17" i="2" s="1"/>
  <c r="J17" i="2" l="1"/>
  <c r="E18" i="2"/>
  <c r="H18" i="2" l="1"/>
  <c r="J18" i="2"/>
  <c r="D19" i="2"/>
  <c r="G18" i="2"/>
  <c r="K18" i="2" s="1"/>
  <c r="F18" i="2"/>
  <c r="I18" i="2" s="1"/>
  <c r="E19" i="2" l="1"/>
  <c r="H19" i="2" l="1"/>
  <c r="D20" i="2"/>
  <c r="G19" i="2"/>
  <c r="K19" i="2" s="1"/>
  <c r="F19" i="2"/>
  <c r="I19" i="2" s="1"/>
  <c r="J19" i="2" l="1"/>
  <c r="E20" i="2"/>
  <c r="J20" i="2" l="1"/>
  <c r="D21" i="2"/>
  <c r="G20" i="2"/>
  <c r="K20" i="2" s="1"/>
  <c r="F20" i="2"/>
  <c r="I20" i="2" s="1"/>
  <c r="H20" i="2"/>
  <c r="E21" i="2" l="1"/>
  <c r="H21" i="2" l="1"/>
  <c r="J21" i="2"/>
  <c r="D22" i="2"/>
  <c r="G21" i="2"/>
  <c r="K21" i="2" s="1"/>
  <c r="F21" i="2"/>
  <c r="I21" i="2" s="1"/>
  <c r="E22" i="2" l="1"/>
  <c r="H22" i="2" s="1"/>
  <c r="D23" i="2" l="1"/>
  <c r="G22" i="2"/>
  <c r="K22" i="2" s="1"/>
  <c r="F22" i="2"/>
  <c r="I22" i="2" s="1"/>
  <c r="J22" i="2" l="1"/>
  <c r="E23" i="2"/>
  <c r="J23" i="2" l="1"/>
  <c r="D24" i="2"/>
  <c r="G23" i="2"/>
  <c r="K23" i="2" s="1"/>
  <c r="F23" i="2"/>
  <c r="I23" i="2" s="1"/>
  <c r="H23" i="2"/>
  <c r="E24" i="2" l="1"/>
  <c r="D25" i="2" l="1"/>
  <c r="G24" i="2"/>
  <c r="K24" i="2" s="1"/>
  <c r="F24" i="2"/>
  <c r="I24" i="2" s="1"/>
  <c r="H24" i="2"/>
  <c r="J24" i="2" l="1"/>
  <c r="E25" i="2"/>
  <c r="J25" i="2" l="1"/>
  <c r="D26" i="2"/>
  <c r="G25" i="2"/>
  <c r="K25" i="2" s="1"/>
  <c r="F25" i="2"/>
  <c r="I25" i="2" s="1"/>
  <c r="H25" i="2"/>
  <c r="E26" i="2" l="1"/>
  <c r="D27" i="2" l="1"/>
  <c r="G26" i="2"/>
  <c r="K26" i="2" s="1"/>
  <c r="F26" i="2"/>
  <c r="I26" i="2" s="1"/>
  <c r="H26" i="2"/>
  <c r="J26" i="2" l="1"/>
  <c r="E27" i="2"/>
  <c r="H27" i="2" l="1"/>
  <c r="J27" i="2"/>
  <c r="G27" i="2"/>
  <c r="K27" i="2" s="1"/>
  <c r="F27" i="2"/>
  <c r="I27" i="2" s="1"/>
  <c r="D28" i="2"/>
  <c r="E28" i="2" l="1"/>
  <c r="H28" i="2" l="1"/>
  <c r="F28" i="2"/>
  <c r="I28" i="2" s="1"/>
  <c r="D29" i="2"/>
  <c r="G28" i="2"/>
  <c r="K28" i="2" s="1"/>
  <c r="J28" i="2" l="1"/>
  <c r="E29" i="2"/>
  <c r="H29" i="2" l="1"/>
  <c r="J29" i="2"/>
  <c r="G29" i="2"/>
  <c r="K29" i="2" s="1"/>
  <c r="D30" i="2"/>
  <c r="F29" i="2"/>
  <c r="I29" i="2" s="1"/>
  <c r="E30" i="2" l="1"/>
  <c r="H30" i="2" l="1"/>
  <c r="G30" i="2"/>
  <c r="K30" i="2" s="1"/>
  <c r="F30" i="2"/>
  <c r="D31" i="2"/>
  <c r="J30" i="2" l="1"/>
  <c r="I30" i="2"/>
  <c r="E31" i="2"/>
  <c r="J31" i="2" l="1"/>
  <c r="H31" i="2"/>
  <c r="G31" i="2"/>
  <c r="K31" i="2" s="1"/>
  <c r="D32" i="2"/>
  <c r="F31" i="2"/>
  <c r="I31" i="2" s="1"/>
  <c r="E32" i="2" l="1"/>
  <c r="H32" i="2" l="1"/>
  <c r="G32" i="2"/>
  <c r="K32" i="2" s="1"/>
  <c r="F32" i="2"/>
  <c r="D33" i="2"/>
  <c r="J32" i="2" l="1"/>
  <c r="I32" i="2"/>
  <c r="E33" i="2"/>
  <c r="J33" i="2" l="1"/>
  <c r="H33" i="2"/>
  <c r="G33" i="2"/>
  <c r="K33" i="2" s="1"/>
  <c r="F33" i="2"/>
  <c r="I33" i="2" s="1"/>
  <c r="D34" i="2"/>
  <c r="E34" i="2" l="1"/>
  <c r="H34" i="2" l="1"/>
  <c r="J34" i="2"/>
  <c r="G34" i="2"/>
  <c r="K34" i="2" s="1"/>
  <c r="F34" i="2"/>
  <c r="I34" i="2" s="1"/>
  <c r="D35" i="2"/>
  <c r="E35" i="2" l="1"/>
  <c r="H35" i="2" l="1"/>
  <c r="G35" i="2"/>
  <c r="K35" i="2" s="1"/>
  <c r="D36" i="2"/>
  <c r="F35" i="2"/>
  <c r="I35" i="2" s="1"/>
  <c r="J35" i="2" l="1"/>
  <c r="E36" i="2"/>
  <c r="H36" i="2" l="1"/>
  <c r="J36" i="2"/>
  <c r="G36" i="2"/>
  <c r="K36" i="2" s="1"/>
  <c r="D37" i="2"/>
  <c r="F36" i="2"/>
  <c r="I36" i="2" s="1"/>
  <c r="E37" i="2" l="1"/>
  <c r="H37" i="2" l="1"/>
  <c r="G37" i="2"/>
  <c r="K37" i="2" s="1"/>
  <c r="D38" i="2"/>
  <c r="F37" i="2"/>
  <c r="I37" i="2" s="1"/>
  <c r="J37" i="2" l="1"/>
  <c r="E38" i="2"/>
  <c r="H38" i="2" l="1"/>
  <c r="J38" i="2"/>
  <c r="G38" i="2"/>
  <c r="K38" i="2" s="1"/>
  <c r="D39" i="2"/>
  <c r="F38" i="2"/>
  <c r="I38" i="2" s="1"/>
  <c r="E39" i="2" l="1"/>
  <c r="H39" i="2" l="1"/>
  <c r="G39" i="2"/>
  <c r="K39" i="2" s="1"/>
  <c r="D40" i="2"/>
  <c r="F39" i="2"/>
  <c r="I39" i="2" s="1"/>
  <c r="J39" i="2" l="1"/>
  <c r="E40" i="2"/>
  <c r="H40" i="2" l="1"/>
  <c r="J40" i="2"/>
  <c r="G40" i="2"/>
  <c r="K40" i="2" s="1"/>
  <c r="D41" i="2"/>
  <c r="F40" i="2"/>
  <c r="I40" i="2" s="1"/>
  <c r="E41" i="2" l="1"/>
  <c r="H41" i="2" l="1"/>
  <c r="G41" i="2"/>
  <c r="K41" i="2" s="1"/>
  <c r="D42" i="2"/>
  <c r="F41" i="2"/>
  <c r="I41" i="2" s="1"/>
  <c r="J41" i="2" l="1"/>
  <c r="E42" i="2"/>
  <c r="H42" i="2"/>
  <c r="J42" i="2" l="1"/>
  <c r="G42" i="2"/>
  <c r="K42" i="2" s="1"/>
  <c r="D43" i="2"/>
  <c r="F42" i="2"/>
  <c r="I42" i="2" s="1"/>
  <c r="E43" i="2" l="1"/>
  <c r="H43" i="2" s="1"/>
  <c r="G43" i="2" l="1"/>
  <c r="K43" i="2" s="1"/>
  <c r="D44" i="2"/>
  <c r="F43" i="2"/>
  <c r="I43" i="2" s="1"/>
  <c r="J43" i="2" l="1"/>
  <c r="E44" i="2"/>
  <c r="H44" i="2" l="1"/>
  <c r="J44" i="2"/>
  <c r="G44" i="2"/>
  <c r="K44" i="2" s="1"/>
  <c r="D45" i="2"/>
  <c r="F44" i="2"/>
  <c r="I44" i="2" s="1"/>
  <c r="E45" i="2" l="1"/>
  <c r="H45" i="2" l="1"/>
  <c r="G45" i="2"/>
  <c r="K45" i="2" s="1"/>
  <c r="D46" i="2"/>
  <c r="F45" i="2"/>
  <c r="I45" i="2" s="1"/>
  <c r="J45" i="2" l="1"/>
  <c r="E46" i="2"/>
  <c r="H46" i="2" l="1"/>
  <c r="J46" i="2"/>
  <c r="G46" i="2"/>
  <c r="K46" i="2" s="1"/>
  <c r="D47" i="2"/>
  <c r="F46" i="2"/>
  <c r="I46" i="2" s="1"/>
  <c r="E47" i="2" l="1"/>
  <c r="H47" i="2" l="1"/>
  <c r="J47" i="2"/>
  <c r="G47" i="2"/>
  <c r="K47" i="2" s="1"/>
  <c r="D48" i="2"/>
  <c r="F47" i="2"/>
  <c r="I47" i="2" s="1"/>
  <c r="E48" i="2" l="1"/>
  <c r="H48" i="2" l="1"/>
  <c r="G48" i="2"/>
  <c r="K48" i="2" s="1"/>
  <c r="D49" i="2"/>
  <c r="F48" i="2"/>
  <c r="I48" i="2" s="1"/>
  <c r="J48" i="2" l="1"/>
  <c r="E49" i="2"/>
  <c r="H49" i="2" l="1"/>
  <c r="J49" i="2"/>
  <c r="G49" i="2"/>
  <c r="K49" i="2" s="1"/>
  <c r="D50" i="2"/>
  <c r="F49" i="2"/>
  <c r="I49" i="2" s="1"/>
  <c r="E50" i="2" l="1"/>
  <c r="H50" i="2" l="1"/>
  <c r="G50" i="2"/>
  <c r="K50" i="2" s="1"/>
  <c r="D51" i="2"/>
  <c r="F50" i="2"/>
  <c r="I50" i="2" s="1"/>
  <c r="J50" i="2" l="1"/>
  <c r="E51" i="2"/>
  <c r="H51" i="2" l="1"/>
  <c r="J51" i="2"/>
  <c r="G51" i="2"/>
  <c r="K51" i="2" s="1"/>
  <c r="D52" i="2"/>
  <c r="F51" i="2"/>
  <c r="I51" i="2" s="1"/>
  <c r="E52" i="2" l="1"/>
  <c r="H52" i="2" l="1"/>
  <c r="G52" i="2"/>
  <c r="K52" i="2" s="1"/>
  <c r="F52" i="2"/>
  <c r="I52" i="2" s="1"/>
  <c r="D53" i="2"/>
  <c r="J52" i="2" l="1"/>
  <c r="E53" i="2"/>
  <c r="J53" i="2" l="1"/>
  <c r="H53" i="2"/>
  <c r="F53" i="2"/>
  <c r="I53" i="2" s="1"/>
  <c r="G53" i="2"/>
  <c r="K53" i="2" s="1"/>
  <c r="D54" i="2"/>
  <c r="E54" i="2" l="1"/>
  <c r="H54" i="2" l="1"/>
  <c r="G54" i="2"/>
  <c r="K54" i="2" s="1"/>
  <c r="F54" i="2"/>
  <c r="D55" i="2"/>
  <c r="J54" i="2" l="1"/>
  <c r="I54" i="2"/>
  <c r="E55" i="2"/>
  <c r="J55" i="2" l="1"/>
  <c r="H55" i="2"/>
  <c r="G55" i="2"/>
  <c r="K55" i="2" s="1"/>
  <c r="F55" i="2"/>
  <c r="I55" i="2" s="1"/>
  <c r="D56" i="2"/>
  <c r="E56" i="2" l="1"/>
  <c r="H56" i="2" l="1"/>
  <c r="G56" i="2"/>
  <c r="K56" i="2" s="1"/>
  <c r="D57" i="2"/>
  <c r="F56" i="2"/>
  <c r="I56" i="2" s="1"/>
  <c r="J56" i="2" l="1"/>
  <c r="E57" i="2"/>
  <c r="J57" i="2" l="1"/>
  <c r="H57" i="2"/>
  <c r="G57" i="2"/>
  <c r="K57" i="2" s="1"/>
  <c r="F57" i="2"/>
  <c r="I57" i="2" s="1"/>
  <c r="D58" i="2"/>
  <c r="E58" i="2" l="1"/>
  <c r="H58" i="2" l="1"/>
  <c r="G58" i="2"/>
  <c r="K58" i="2" s="1"/>
  <c r="D59" i="2"/>
  <c r="F58" i="2"/>
  <c r="I58" i="2" s="1"/>
  <c r="J58" i="2" l="1"/>
  <c r="E59" i="2"/>
  <c r="J59" i="2" l="1"/>
  <c r="G59" i="2"/>
  <c r="K59" i="2" s="1"/>
  <c r="F59" i="2"/>
  <c r="I59" i="2" s="1"/>
  <c r="D60" i="2"/>
  <c r="H59" i="2"/>
  <c r="E60" i="2" l="1"/>
  <c r="J60" i="2" l="1"/>
  <c r="H60" i="2"/>
  <c r="G60" i="2"/>
  <c r="K60" i="2" s="1"/>
  <c r="F60" i="2"/>
  <c r="I60" i="2" s="1"/>
  <c r="D61" i="2"/>
  <c r="E61" i="2" l="1"/>
  <c r="H61" i="2" l="1"/>
  <c r="G61" i="2"/>
  <c r="K61" i="2" s="1"/>
  <c r="D62" i="2"/>
  <c r="F61" i="2"/>
  <c r="I61" i="2" s="1"/>
  <c r="J61" i="2" l="1"/>
  <c r="E62" i="2"/>
  <c r="H62" i="2" l="1"/>
  <c r="J62" i="2"/>
  <c r="G62" i="2"/>
  <c r="K62" i="2" s="1"/>
  <c r="D63" i="2"/>
  <c r="F62" i="2"/>
  <c r="I62" i="2" s="1"/>
  <c r="E63" i="2" l="1"/>
  <c r="H63" i="2" l="1"/>
  <c r="G63" i="2"/>
  <c r="K63" i="2" s="1"/>
  <c r="F63" i="2"/>
  <c r="D64" i="2"/>
  <c r="J63" i="2" l="1"/>
  <c r="I63" i="2"/>
  <c r="E64" i="2"/>
  <c r="H64" i="2" l="1"/>
  <c r="J64" i="2"/>
  <c r="G64" i="2"/>
  <c r="K64" i="2" s="1"/>
  <c r="F64" i="2"/>
  <c r="I64" i="2" s="1"/>
  <c r="D65" i="2"/>
  <c r="E65" i="2" l="1"/>
  <c r="H65" i="2" l="1"/>
  <c r="G65" i="2"/>
  <c r="K65" i="2" s="1"/>
  <c r="D66" i="2"/>
  <c r="F65" i="2"/>
  <c r="I65" i="2" s="1"/>
  <c r="J65" i="2" l="1"/>
  <c r="E66" i="2"/>
  <c r="H66" i="2" l="1"/>
  <c r="J66" i="2"/>
  <c r="G66" i="2"/>
  <c r="K66" i="2" s="1"/>
  <c r="D67" i="2"/>
  <c r="F66" i="2"/>
  <c r="I66" i="2" s="1"/>
  <c r="E67" i="2" l="1"/>
  <c r="H67" i="2" l="1"/>
  <c r="G67" i="2"/>
  <c r="K67" i="2" s="1"/>
  <c r="F67" i="2"/>
  <c r="D68" i="2"/>
  <c r="J67" i="2" l="1"/>
  <c r="I67" i="2"/>
  <c r="E68" i="2"/>
  <c r="J68" i="2" l="1"/>
  <c r="H68" i="2"/>
  <c r="G68" i="2"/>
  <c r="K68" i="2" s="1"/>
  <c r="F68" i="2"/>
  <c r="I68" i="2" s="1"/>
  <c r="D69" i="2"/>
  <c r="E69" i="2" l="1"/>
  <c r="H69" i="2" l="1"/>
  <c r="G69" i="2"/>
  <c r="K69" i="2" s="1"/>
  <c r="D70" i="2"/>
  <c r="F69" i="2"/>
  <c r="I69" i="2" s="1"/>
  <c r="J69" i="2" l="1"/>
  <c r="E70" i="2"/>
  <c r="H70" i="2" l="1"/>
  <c r="J70" i="2"/>
  <c r="G70" i="2"/>
  <c r="K70" i="2" s="1"/>
  <c r="D71" i="2"/>
  <c r="F70" i="2"/>
  <c r="I70" i="2" s="1"/>
  <c r="E71" i="2" l="1"/>
  <c r="H71" i="2" l="1"/>
  <c r="J71" i="2"/>
  <c r="G71" i="2"/>
  <c r="K71" i="2" s="1"/>
  <c r="F71" i="2"/>
  <c r="I71" i="2" s="1"/>
  <c r="D72" i="2"/>
  <c r="E72" i="2" l="1"/>
  <c r="H72" i="2" l="1"/>
  <c r="G72" i="2"/>
  <c r="K72" i="2" s="1"/>
  <c r="F72" i="2"/>
  <c r="I72" i="2" s="1"/>
  <c r="D73" i="2"/>
  <c r="J72" i="2" l="1"/>
  <c r="E73" i="2"/>
  <c r="H73" i="2" l="1"/>
  <c r="J73" i="2"/>
  <c r="G73" i="2"/>
  <c r="K73" i="2" s="1"/>
  <c r="D74" i="2"/>
  <c r="F73" i="2"/>
  <c r="I73" i="2" s="1"/>
  <c r="E74" i="2" l="1"/>
  <c r="H74" i="2" l="1"/>
  <c r="G74" i="2"/>
  <c r="K74" i="2" s="1"/>
  <c r="D75" i="2"/>
  <c r="F74" i="2"/>
  <c r="I74" i="2" s="1"/>
  <c r="J74" i="2" l="1"/>
  <c r="E75" i="2"/>
  <c r="H75" i="2" l="1"/>
  <c r="J75" i="2"/>
  <c r="G75" i="2"/>
  <c r="K75" i="2" s="1"/>
  <c r="D76" i="2"/>
  <c r="F75" i="2"/>
  <c r="I75" i="2" s="1"/>
  <c r="E76" i="2" l="1"/>
  <c r="H76" i="2" l="1"/>
  <c r="G76" i="2"/>
  <c r="K76" i="2" s="1"/>
  <c r="D77" i="2"/>
  <c r="F76" i="2"/>
  <c r="I76" i="2" s="1"/>
  <c r="J76" i="2" l="1"/>
  <c r="E77" i="2"/>
  <c r="H77" i="2" l="1"/>
  <c r="J77" i="2"/>
  <c r="G77" i="2"/>
  <c r="K77" i="2" s="1"/>
  <c r="D78" i="2"/>
  <c r="F77" i="2"/>
  <c r="I77" i="2" s="1"/>
  <c r="E78" i="2" l="1"/>
  <c r="H78" i="2" l="1"/>
  <c r="G78" i="2"/>
  <c r="K78" i="2" s="1"/>
  <c r="D79" i="2"/>
  <c r="F78" i="2"/>
  <c r="I78" i="2" s="1"/>
  <c r="J78" i="2" l="1"/>
  <c r="E79" i="2"/>
  <c r="H79" i="2" l="1"/>
  <c r="J79" i="2"/>
  <c r="G79" i="2"/>
  <c r="K79" i="2" s="1"/>
  <c r="D80" i="2"/>
  <c r="F79" i="2"/>
  <c r="I79" i="2" s="1"/>
  <c r="E80" i="2" l="1"/>
  <c r="H80" i="2" l="1"/>
  <c r="G80" i="2"/>
  <c r="K80" i="2" s="1"/>
  <c r="D81" i="2"/>
  <c r="F80" i="2"/>
  <c r="I80" i="2" s="1"/>
  <c r="J80" i="2" l="1"/>
  <c r="E81" i="2"/>
  <c r="J81" i="2" l="1"/>
  <c r="H81" i="2"/>
  <c r="G81" i="2"/>
  <c r="K81" i="2" s="1"/>
  <c r="F81" i="2"/>
  <c r="I81" i="2" s="1"/>
  <c r="D82" i="2"/>
  <c r="E82" i="2" l="1"/>
  <c r="H82" i="2" l="1"/>
  <c r="G82" i="2"/>
  <c r="K82" i="2" s="1"/>
  <c r="D83" i="2"/>
  <c r="F82" i="2"/>
  <c r="I82" i="2" s="1"/>
  <c r="J82" i="2" l="1"/>
  <c r="E83" i="2"/>
  <c r="H83" i="2" l="1"/>
  <c r="J83" i="2"/>
  <c r="G83" i="2"/>
  <c r="K83" i="2" s="1"/>
  <c r="D84" i="2"/>
  <c r="F83" i="2"/>
  <c r="I83" i="2" s="1"/>
  <c r="E84" i="2" l="1"/>
  <c r="H84" i="2" l="1"/>
  <c r="G84" i="2"/>
  <c r="K84" i="2" s="1"/>
  <c r="F84" i="2"/>
  <c r="D85" i="2"/>
  <c r="J84" i="2" l="1"/>
  <c r="I84" i="2"/>
  <c r="E85" i="2"/>
  <c r="J85" i="2" l="1"/>
  <c r="H85" i="2"/>
  <c r="G85" i="2"/>
  <c r="K85" i="2" s="1"/>
  <c r="F85" i="2"/>
  <c r="I85" i="2" s="1"/>
  <c r="D86" i="2"/>
  <c r="E86" i="2" l="1"/>
  <c r="H86" i="2" l="1"/>
  <c r="J86" i="2"/>
  <c r="G86" i="2"/>
  <c r="K86" i="2" s="1"/>
  <c r="D87" i="2"/>
  <c r="F86" i="2"/>
  <c r="I86" i="2" s="1"/>
  <c r="E87" i="2" l="1"/>
  <c r="G87" i="2" l="1"/>
  <c r="K87" i="2" s="1"/>
  <c r="F87" i="2"/>
  <c r="I87" i="2" s="1"/>
  <c r="D88" i="2"/>
  <c r="H87" i="2"/>
  <c r="J87" i="2" l="1"/>
  <c r="E88" i="2"/>
  <c r="H88" i="2" l="1"/>
  <c r="J88" i="2"/>
  <c r="G88" i="2"/>
  <c r="K88" i="2" s="1"/>
  <c r="F88" i="2"/>
  <c r="I88" i="2" s="1"/>
  <c r="D89" i="2"/>
  <c r="E89" i="2" l="1"/>
  <c r="H89" i="2" l="1"/>
  <c r="G89" i="2"/>
  <c r="K89" i="2" s="1"/>
  <c r="F89" i="2"/>
  <c r="I89" i="2" s="1"/>
  <c r="D90" i="2"/>
  <c r="J89" i="2" l="1"/>
  <c r="E90" i="2"/>
  <c r="H90" i="2" l="1"/>
  <c r="J90" i="2"/>
  <c r="G90" i="2"/>
  <c r="K90" i="2" s="1"/>
  <c r="D91" i="2"/>
  <c r="F90" i="2"/>
  <c r="I90" i="2" s="1"/>
  <c r="E91" i="2" l="1"/>
  <c r="H91" i="2" l="1"/>
  <c r="G91" i="2"/>
  <c r="K91" i="2" s="1"/>
  <c r="D92" i="2"/>
  <c r="F91" i="2"/>
  <c r="I91" i="2" s="1"/>
  <c r="J91" i="2" l="1"/>
  <c r="E92" i="2"/>
  <c r="H92" i="2" l="1"/>
  <c r="J92" i="2"/>
  <c r="G92" i="2"/>
  <c r="K92" i="2" s="1"/>
  <c r="D93" i="2"/>
  <c r="F92" i="2"/>
  <c r="I92" i="2" s="1"/>
  <c r="E93" i="2" l="1"/>
  <c r="H93" i="2" l="1"/>
  <c r="G93" i="2"/>
  <c r="K93" i="2" s="1"/>
  <c r="F93" i="2"/>
  <c r="I93" i="2" s="1"/>
  <c r="D94" i="2"/>
  <c r="J93" i="2" l="1"/>
  <c r="E94" i="2"/>
  <c r="H94" i="2" s="1"/>
  <c r="J94" i="2" l="1"/>
  <c r="G94" i="2"/>
  <c r="K94" i="2" s="1"/>
  <c r="F94" i="2"/>
  <c r="I94" i="2" s="1"/>
  <c r="D95" i="2"/>
  <c r="E95" i="2" l="1"/>
  <c r="H95" i="2" l="1"/>
  <c r="G95" i="2"/>
  <c r="K95" i="2" s="1"/>
  <c r="D96" i="2"/>
  <c r="F95" i="2"/>
  <c r="I95" i="2" s="1"/>
  <c r="J95" i="2" l="1"/>
  <c r="E96" i="2"/>
  <c r="H96" i="2" l="1"/>
  <c r="J96" i="2"/>
  <c r="G96" i="2"/>
  <c r="K96" i="2" s="1"/>
  <c r="D97" i="2"/>
  <c r="F96" i="2"/>
  <c r="I96" i="2" s="1"/>
  <c r="E97" i="2" l="1"/>
  <c r="H97" i="2" l="1"/>
  <c r="J97" i="2"/>
  <c r="G97" i="2"/>
  <c r="K97" i="2" s="1"/>
  <c r="D98" i="2"/>
  <c r="F97" i="2"/>
  <c r="I97" i="2" s="1"/>
  <c r="E98" i="2" l="1"/>
  <c r="H98" i="2" l="1"/>
  <c r="G98" i="2"/>
  <c r="K98" i="2" s="1"/>
  <c r="D99" i="2"/>
  <c r="F98" i="2"/>
  <c r="I98" i="2" s="1"/>
  <c r="J98" i="2" l="1"/>
  <c r="E99" i="2"/>
  <c r="H99" i="2" l="1"/>
  <c r="J99" i="2"/>
  <c r="G99" i="2"/>
  <c r="K99" i="2" s="1"/>
  <c r="D100" i="2"/>
  <c r="F99" i="2"/>
  <c r="I99" i="2" s="1"/>
  <c r="E100" i="2" l="1"/>
  <c r="H100" i="2" l="1"/>
  <c r="G100" i="2"/>
  <c r="K100" i="2" s="1"/>
  <c r="D101" i="2"/>
  <c r="F100" i="2"/>
  <c r="I100" i="2" s="1"/>
  <c r="J100" i="2" l="1"/>
  <c r="E101" i="2"/>
  <c r="H101" i="2" l="1"/>
  <c r="J101" i="2"/>
  <c r="G101" i="2"/>
  <c r="K101" i="2" s="1"/>
  <c r="D102" i="2"/>
  <c r="F101" i="2"/>
  <c r="I101" i="2" s="1"/>
  <c r="E102" i="2" l="1"/>
  <c r="H102" i="2" l="1"/>
  <c r="G102" i="2"/>
  <c r="K102" i="2" s="1"/>
  <c r="F102" i="2"/>
  <c r="I102" i="2" s="1"/>
  <c r="D103" i="2"/>
  <c r="J102" i="2" l="1"/>
  <c r="E103" i="2"/>
  <c r="H103" i="2" s="1"/>
  <c r="J103" i="2" l="1"/>
  <c r="G103" i="2"/>
  <c r="K103" i="2" s="1"/>
  <c r="D104" i="2"/>
  <c r="F103" i="2"/>
  <c r="I103" i="2" s="1"/>
  <c r="E104" i="2" l="1"/>
  <c r="H104" i="2" l="1"/>
  <c r="G104" i="2"/>
  <c r="K104" i="2" s="1"/>
  <c r="F104" i="2"/>
  <c r="D105" i="2"/>
  <c r="J104" i="2" l="1"/>
  <c r="I104" i="2"/>
  <c r="E105" i="2"/>
  <c r="H105" i="2" l="1"/>
  <c r="J105" i="2"/>
  <c r="G105" i="2"/>
  <c r="K105" i="2" s="1"/>
  <c r="D106" i="2"/>
  <c r="F105" i="2"/>
  <c r="I105" i="2" s="1"/>
  <c r="E106" i="2" l="1"/>
  <c r="H106" i="2" l="1"/>
  <c r="G106" i="2"/>
  <c r="K106" i="2" s="1"/>
  <c r="F106" i="2"/>
  <c r="D107" i="2"/>
  <c r="J106" i="2" l="1"/>
  <c r="I106" i="2"/>
  <c r="E107" i="2"/>
  <c r="H107" i="2" l="1"/>
  <c r="J107" i="2"/>
  <c r="G107" i="2"/>
  <c r="K107" i="2" s="1"/>
  <c r="D108" i="2"/>
  <c r="F107" i="2"/>
  <c r="I107" i="2" s="1"/>
  <c r="E108" i="2" l="1"/>
  <c r="H108" i="2" l="1"/>
  <c r="J108" i="2"/>
  <c r="G108" i="2"/>
  <c r="K108" i="2" s="1"/>
  <c r="F108" i="2"/>
  <c r="I108" i="2" s="1"/>
  <c r="D109" i="2"/>
  <c r="E109" i="2" l="1"/>
  <c r="H109" i="2" l="1"/>
  <c r="G109" i="2"/>
  <c r="K109" i="2" s="1"/>
  <c r="D110" i="2"/>
  <c r="F109" i="2"/>
  <c r="I109" i="2" s="1"/>
  <c r="J109" i="2" l="1"/>
  <c r="E110" i="2"/>
  <c r="H110" i="2" l="1"/>
  <c r="J110" i="2"/>
  <c r="G110" i="2"/>
  <c r="K110" i="2" s="1"/>
  <c r="F110" i="2"/>
  <c r="I110" i="2" s="1"/>
  <c r="D111" i="2"/>
  <c r="E111" i="2" l="1"/>
  <c r="H111" i="2" l="1"/>
  <c r="G111" i="2"/>
  <c r="K111" i="2" s="1"/>
  <c r="D112" i="2"/>
  <c r="F111" i="2"/>
  <c r="I111" i="2" s="1"/>
  <c r="J111" i="2" l="1"/>
  <c r="E112" i="2"/>
  <c r="H112" i="2" l="1"/>
  <c r="J112" i="2"/>
  <c r="G112" i="2"/>
  <c r="K112" i="2" s="1"/>
  <c r="F112" i="2"/>
  <c r="I112" i="2" s="1"/>
  <c r="D113" i="2"/>
  <c r="E113" i="2" l="1"/>
  <c r="H113" i="2" l="1"/>
  <c r="G113" i="2"/>
  <c r="K113" i="2" s="1"/>
  <c r="F113" i="2"/>
  <c r="I113" i="2" s="1"/>
  <c r="D114" i="2"/>
  <c r="J113" i="2" l="1"/>
  <c r="E114" i="2"/>
  <c r="H114" i="2" l="1"/>
  <c r="J114" i="2"/>
  <c r="G114" i="2"/>
  <c r="K114" i="2" s="1"/>
  <c r="F114" i="2"/>
  <c r="I114" i="2" s="1"/>
  <c r="D115" i="2"/>
  <c r="E115" i="2" l="1"/>
  <c r="H115" i="2" l="1"/>
  <c r="G115" i="2"/>
  <c r="K115" i="2" s="1"/>
  <c r="D116" i="2"/>
  <c r="F115" i="2"/>
  <c r="I115" i="2" s="1"/>
  <c r="J115" i="2" l="1"/>
  <c r="E116" i="2"/>
  <c r="H116" i="2" l="1"/>
  <c r="J116" i="2"/>
  <c r="G116" i="2"/>
  <c r="K116" i="2" s="1"/>
  <c r="F116" i="2"/>
  <c r="I116" i="2" s="1"/>
  <c r="D117" i="2"/>
  <c r="E117" i="2" l="1"/>
  <c r="H117" i="2" l="1"/>
  <c r="G117" i="2"/>
  <c r="K117" i="2" s="1"/>
  <c r="D118" i="2"/>
  <c r="F117" i="2"/>
  <c r="I117" i="2" s="1"/>
  <c r="J117" i="2" l="1"/>
  <c r="E118" i="2"/>
  <c r="H118" i="2" l="1"/>
  <c r="J118" i="2"/>
  <c r="G118" i="2"/>
  <c r="K118" i="2" s="1"/>
  <c r="D119" i="2"/>
  <c r="E119" i="2" s="1"/>
  <c r="F118" i="2"/>
  <c r="I118" i="2" s="1"/>
  <c r="G119" i="2" l="1"/>
  <c r="K119" i="2" s="1"/>
  <c r="D120" i="2"/>
  <c r="E120" i="2" s="1"/>
  <c r="F119" i="2"/>
  <c r="I119" i="2" s="1"/>
  <c r="J120" i="2" l="1"/>
  <c r="J119" i="2"/>
  <c r="F120" i="2"/>
  <c r="I120" i="2" s="1"/>
  <c r="G120" i="2"/>
  <c r="K120" i="2" s="1"/>
  <c r="D121" i="2"/>
  <c r="E121" i="2" s="1"/>
  <c r="J121" i="2" l="1"/>
  <c r="G121" i="2"/>
  <c r="K121" i="2" s="1"/>
  <c r="F121" i="2"/>
  <c r="I121" i="2" s="1"/>
  <c r="D122" i="2"/>
  <c r="E122" i="2" s="1"/>
  <c r="D123" i="2" l="1"/>
  <c r="E123" i="2" s="1"/>
  <c r="G122" i="2"/>
  <c r="K122" i="2" s="1"/>
  <c r="F122" i="2"/>
  <c r="I122" i="2" s="1"/>
  <c r="J123" i="2" l="1"/>
  <c r="J122" i="2"/>
  <c r="D124" i="2"/>
  <c r="E124" i="2" s="1"/>
  <c r="G123" i="2"/>
  <c r="K123" i="2" s="1"/>
  <c r="F123" i="2"/>
  <c r="I123" i="2" s="1"/>
  <c r="F124" i="2" l="1"/>
  <c r="I124" i="2" s="1"/>
  <c r="G124" i="2"/>
  <c r="K124" i="2" s="1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<sst xmlns="http://schemas.openxmlformats.org/spreadsheetml/2006/main" count="237" uniqueCount="68">
  <si>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</si>
  <si>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</si>
  <si>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</si>
  <si>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</si>
  <si>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</si>
  <si>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</si>
  <si>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</si>
  <si>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</si>
  <si>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</si>
  <si>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</si>
  <si>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</si>
  <si>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</si>
  <si>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</si>
  <si>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</si>
  <si>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</si>
  <si>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</si>
  <si>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</si>
  <si>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</si>
  <si>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</si>
  <si>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</si>
  <si>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</si>
  <si>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</si>
  <si>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</si>
  <si>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</si>
  <si>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</si>
  <si>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</si>
  <si>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</si>
  <si>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</si>
  <si>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</si>
  <si>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</si>
  <si>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</si>
  <si>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</si>
  <si>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</si>
  <si>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</si>
  <si>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</si>
  <si>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</si>
  <si>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</si>
  <si>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</si>
  <si>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</si>
  <si>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</si>
  <si>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</si>
  <si>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</si>
  <si>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</si>
  <si>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</si>
  <si>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</si>
  <si>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</si>
  <si>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</si>
  <si>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</si>
  <si>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</si>
  <si>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</si>
  <si>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</si>
  <si>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</si>
  <si>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</si>
  <si>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</si>
  <si>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</si>
  <si>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</si>
  <si>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</si>
  <si>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</si>
  <si>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</si>
  <si>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</si>
  <si>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</si>
  <si>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</si>
  <si>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FY13-04</t>
  </si>
  <si>
    <t>4.1</t>
  </si>
  <si>
    <t>WorksheetName</t>
  </si>
  <si>
    <t>WorksheetExists</t>
  </si>
  <si>
    <t>PatchesInstalled</t>
  </si>
  <si>
    <t>v4.2.1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</si>
</sst>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</cellStyleXfs>
  <cellXfs count="26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</cellXfs>
  <cellStyles count="9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F19" sqref="F19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2" r:id="rId4" name="frmBugButton">
          <controlPr defaultSize="0" autoLine="0" r:id="rId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4" name="frmBugButton"/>
      </mc:Fallback>
    </mc:AlternateContent>
    <mc:AlternateContent xmlns:mc="http://schemas.openxmlformats.org/markup-compatibility/2006">
      <mc:Choice Requires="x14">
        <control shapeId="3079" r:id="rId6" name="btnUpdateCode">
          <controlPr autoLine="0" r:id="rId7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6" name="btnUpdateCode"/>
      </mc:Fallback>
    </mc:AlternateContent>
    <mc:AlternateContent xmlns:mc="http://schemas.openxmlformats.org/markup-compatibility/2006">
      <mc:Choice Requires="x14">
        <control shapeId="3073" r:id="rId8" name="btnNewSheet">
          <controlPr autoLine="0" r:id="rId9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8" name="btnNewSheet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5" r:id="rId12" name="btnHistory">
          <controlPr autoLine="0" r:id="rId13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2" name="btnHistory"/>
      </mc:Fallback>
    </mc:AlternateContent>
    <mc:AlternateContent xmlns:mc="http://schemas.openxmlformats.org/markup-compatibility/2006">
      <mc:Choice Requires="x14">
        <control shapeId="3076" r:id="rId14" name="btnPrefs">
          <controlPr autoLine="0" r:id="rId1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4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58</v>
      </c>
      <c r="H14" s="14">
        <f>SUM(B13:H13)</f>
        <v>40</v>
      </c>
      <c r="I14"/>
      <c r="J14"/>
      <c r="K14"/>
      <c r="L14"/>
      <c r="M14"/>
      <c r="N14" s="24" t="s">
        <v>59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2.5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51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51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58</v>
      </c>
      <c r="H12" s="14">
        <f>SUM(B11:H11)</f>
        <v>7</v>
      </c>
      <c r="I12"/>
      <c r="J12"/>
      <c r="K12"/>
      <c r="L12"/>
      <c r="M12"/>
      <c r="N12" s="24" t="s">
        <v>59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5"/>
  <sheetViews>
    <sheetView topLeftCell="L1" zoomScaleNormal="100" workbookViewId="0">
      <selection activeCell="R7" sqref="R7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  <col min="18" max="18" width="11.44140625" bestFit="1" customWidth="1"/>
    <col min="20" max="20" width="11.88671875" bestFit="1" customWidth="1"/>
  </cols>
  <sheetData>
    <row r="1" spans="1:24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  <c r="R1" s="1" t="s">
        <v>66</v>
      </c>
      <c r="W1" s="1" t="s">
        <v>64</v>
      </c>
      <c r="X1" s="1" t="s">
        <v>65</v>
      </c>
    </row>
    <row r="2" spans="1:24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63</v>
      </c>
      <c r="M2" s="1"/>
      <c r="N2" t="s">
        <v>10</v>
      </c>
      <c r="O2" t="b">
        <v>1</v>
      </c>
      <c r="P2" t="s">
        <v>62</v>
      </c>
      <c r="Q2" s="2" t="b">
        <v>0</v>
      </c>
      <c r="R2" t="s">
        <v>67</v>
      </c>
      <c r="W2" t="str">
        <f>"FY" &amp; RIGHT(G2,2) &amp; "-" &amp; IF(C2&lt;10,"0" &amp; C2,C2)</f>
        <v>FY12-01</v>
      </c>
    </row>
    <row r="3" spans="1:24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W3" s="2" t="str">
        <f t="shared" ref="W3:W66" si="4">"FY" &amp; RIGHT(G3,2) &amp; "-" &amp; IF(C3&lt;10,"0" &amp; C3,C3)</f>
        <v>FY12-02</v>
      </c>
    </row>
    <row r="4" spans="1:24" x14ac:dyDescent="0.2">
      <c r="A4" s="1" t="s">
        <v>46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W4" s="2" t="str">
        <f t="shared" si="4"/>
        <v>FY12-03</v>
      </c>
    </row>
    <row r="5" spans="1:24" x14ac:dyDescent="0.2">
      <c r="A5" s="1" t="s">
        <v>10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0"/>
        <v>40963</v>
      </c>
      <c r="G5" s="1">
        <f t="shared" si="1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W5" s="2" t="str">
        <f t="shared" si="4"/>
        <v>FY12-04</v>
      </c>
    </row>
    <row r="6" spans="1:24" x14ac:dyDescent="0.2">
      <c r="A6" s="1" t="s">
        <v>45</v>
      </c>
      <c r="B6" s="1" t="s">
        <v>53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0"/>
        <v>40977</v>
      </c>
      <c r="G6" s="1">
        <f t="shared" si="1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W6" s="2" t="str">
        <f t="shared" si="4"/>
        <v>FY12-05</v>
      </c>
    </row>
    <row r="7" spans="1:24" x14ac:dyDescent="0.2">
      <c r="A7" s="1" t="s">
        <v>12</v>
      </c>
      <c r="B7" s="1" t="s">
        <v>51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0"/>
        <v>40991</v>
      </c>
      <c r="G7" s="1">
        <f t="shared" si="1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W7" s="2" t="str">
        <f t="shared" si="4"/>
        <v>FY12-06</v>
      </c>
    </row>
    <row r="8" spans="1:24" x14ac:dyDescent="0.2">
      <c r="A8" s="1" t="s">
        <v>14</v>
      </c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0"/>
        <v>41005</v>
      </c>
      <c r="G8" s="1">
        <f t="shared" si="1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W8" s="2" t="str">
        <f t="shared" si="4"/>
        <v>FY12-07</v>
      </c>
    </row>
    <row r="9" spans="1:24" x14ac:dyDescent="0.2">
      <c r="B9" s="1" t="s">
        <v>50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0"/>
        <v>41019</v>
      </c>
      <c r="G9" s="1">
        <f t="shared" si="1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W9" s="2" t="str">
        <f t="shared" si="4"/>
        <v>FY12-08</v>
      </c>
    </row>
    <row r="10" spans="1:24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0"/>
        <v>41033</v>
      </c>
      <c r="G10" s="1">
        <f t="shared" si="1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W10" s="2" t="str">
        <f t="shared" si="4"/>
        <v>FY12-09</v>
      </c>
    </row>
    <row r="11" spans="1:24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0"/>
        <v>41047</v>
      </c>
      <c r="G11" s="1">
        <f t="shared" si="1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W11" s="2" t="str">
        <f t="shared" si="4"/>
        <v>FY12-10</v>
      </c>
    </row>
    <row r="12" spans="1:24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0"/>
        <v>41061</v>
      </c>
      <c r="G12" s="1">
        <f t="shared" si="1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W12" s="2" t="str">
        <f t="shared" si="4"/>
        <v>FY12-11</v>
      </c>
    </row>
    <row r="13" spans="1:24" x14ac:dyDescent="0.2">
      <c r="B13" s="1" t="s">
        <v>52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0"/>
        <v>41075</v>
      </c>
      <c r="G13" s="1">
        <f t="shared" si="1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W13" s="2" t="str">
        <f t="shared" si="4"/>
        <v>FY12-12</v>
      </c>
    </row>
    <row r="14" spans="1:24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0"/>
        <v>41089</v>
      </c>
      <c r="G14" s="1">
        <f t="shared" si="1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W14" s="2" t="str">
        <f t="shared" si="4"/>
        <v>FY12-13</v>
      </c>
    </row>
    <row r="15" spans="1:24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0"/>
        <v>41103</v>
      </c>
      <c r="G15" s="1">
        <f t="shared" si="1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W15" s="2" t="str">
        <f t="shared" si="4"/>
        <v>FY12-14</v>
      </c>
    </row>
    <row r="16" spans="1:24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0"/>
        <v>41117</v>
      </c>
      <c r="G16" s="1">
        <f t="shared" si="1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W16" s="2" t="str">
        <f t="shared" si="4"/>
        <v>FY12-15</v>
      </c>
    </row>
    <row r="17" spans="2:23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0"/>
        <v>41131</v>
      </c>
      <c r="G17" s="1">
        <f t="shared" si="1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W17" s="2" t="str">
        <f t="shared" si="4"/>
        <v>FY12-16</v>
      </c>
    </row>
    <row r="18" spans="2:23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0"/>
        <v>41145</v>
      </c>
      <c r="G18" s="1">
        <f t="shared" si="1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W18" s="2" t="str">
        <f t="shared" si="4"/>
        <v>FY12-17</v>
      </c>
    </row>
    <row r="19" spans="2:23" x14ac:dyDescent="0.2">
      <c r="B19" s="1" t="s">
        <v>54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0"/>
        <v>41159</v>
      </c>
      <c r="G19" s="1">
        <f t="shared" si="1"/>
        <v>2013</v>
      </c>
      <c r="H19" s="2">
        <f t="shared" si="7"/>
        <v>12</v>
      </c>
      <c r="I19" s="2" t="str">
        <f t="shared" si="2"/>
        <v>September</v>
      </c>
      <c r="J19" s="2" t="str">
        <f t="shared" si="8"/>
        <v>Sun</v>
      </c>
      <c r="K19" s="2" t="str">
        <f t="shared" si="3"/>
        <v>201318</v>
      </c>
      <c r="W19" s="2" t="str">
        <f t="shared" si="4"/>
        <v>FY13-18</v>
      </c>
    </row>
    <row r="20" spans="2:23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0"/>
        <v>41173</v>
      </c>
      <c r="G20" s="1">
        <f t="shared" si="1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W20" s="2" t="str">
        <f t="shared" si="4"/>
        <v>FY13-19</v>
      </c>
    </row>
    <row r="21" spans="2:23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0"/>
        <v>41187</v>
      </c>
      <c r="G21" s="1">
        <f t="shared" si="1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W21" s="2" t="str">
        <f t="shared" si="4"/>
        <v>FY13-20</v>
      </c>
    </row>
    <row r="22" spans="2:23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0"/>
        <v>41201</v>
      </c>
      <c r="G22" s="1">
        <f t="shared" si="1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W22" s="2" t="str">
        <f t="shared" si="4"/>
        <v>FY13-21</v>
      </c>
    </row>
    <row r="23" spans="2:23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0"/>
        <v>41215</v>
      </c>
      <c r="G23" s="1">
        <f t="shared" si="1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W23" s="2" t="str">
        <f t="shared" si="4"/>
        <v>FY13-22</v>
      </c>
    </row>
    <row r="24" spans="2:23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0"/>
        <v>41229</v>
      </c>
      <c r="G24" s="1">
        <f t="shared" si="1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W24" s="2" t="str">
        <f t="shared" si="4"/>
        <v>FY13-23</v>
      </c>
    </row>
    <row r="25" spans="2:23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0"/>
        <v>41243</v>
      </c>
      <c r="G25" s="1">
        <f t="shared" si="1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W25" s="2" t="str">
        <f t="shared" si="4"/>
        <v>FY13-24</v>
      </c>
    </row>
    <row r="26" spans="2:23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0"/>
        <v>41257</v>
      </c>
      <c r="G26" s="1">
        <f t="shared" si="1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W26" s="2" t="str">
        <f t="shared" si="4"/>
        <v>FY13-25</v>
      </c>
    </row>
    <row r="27" spans="2:23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0"/>
        <v>41271</v>
      </c>
      <c r="G27" s="1">
        <f t="shared" si="1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W27" s="2" t="str">
        <f t="shared" si="4"/>
        <v>FY13-26</v>
      </c>
    </row>
    <row r="28" spans="2:23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0"/>
        <v>41285</v>
      </c>
      <c r="G28" s="1">
        <f t="shared" si="1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W28" s="2" t="str">
        <f t="shared" si="4"/>
        <v>FY13-01</v>
      </c>
    </row>
    <row r="29" spans="2:23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0"/>
        <v>41299</v>
      </c>
      <c r="G29" s="1">
        <f t="shared" si="1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W29" s="2" t="str">
        <f t="shared" si="4"/>
        <v>FY13-02</v>
      </c>
    </row>
    <row r="30" spans="2:23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0"/>
        <v>41313</v>
      </c>
      <c r="G30" s="1">
        <f t="shared" si="1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W30" s="2" t="str">
        <f t="shared" si="4"/>
        <v>FY13-03</v>
      </c>
    </row>
    <row r="31" spans="2:23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0"/>
        <v>41327</v>
      </c>
      <c r="G31" s="1">
        <f t="shared" si="1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W31" s="2" t="str">
        <f t="shared" si="4"/>
        <v>FY13-04</v>
      </c>
    </row>
    <row r="32" spans="2:23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0"/>
        <v>41341</v>
      </c>
      <c r="G32" s="1">
        <f t="shared" si="1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W32" s="2" t="str">
        <f t="shared" si="4"/>
        <v>FY13-05</v>
      </c>
    </row>
    <row r="33" spans="3:23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0"/>
        <v>41355</v>
      </c>
      <c r="G33" s="1">
        <f t="shared" si="1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W33" s="2" t="str">
        <f t="shared" si="4"/>
        <v>FY13-06</v>
      </c>
    </row>
    <row r="34" spans="3:23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0"/>
        <v>41369</v>
      </c>
      <c r="G34" s="1">
        <f t="shared" si="1"/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W34" s="2" t="str">
        <f t="shared" si="4"/>
        <v>FY13-07</v>
      </c>
    </row>
    <row r="35" spans="3:23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0"/>
        <v>41383</v>
      </c>
      <c r="G35" s="1">
        <f t="shared" si="1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W35" s="2" t="str">
        <f t="shared" si="4"/>
        <v>FY13-08</v>
      </c>
    </row>
    <row r="36" spans="3:23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0"/>
        <v>41397</v>
      </c>
      <c r="G36" s="1">
        <f t="shared" si="1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W36" s="2" t="str">
        <f t="shared" si="4"/>
        <v>FY13-09</v>
      </c>
    </row>
    <row r="37" spans="3:23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0"/>
        <v>41411</v>
      </c>
      <c r="G37" s="1">
        <f t="shared" si="1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W37" s="2" t="str">
        <f t="shared" si="4"/>
        <v>FY13-10</v>
      </c>
    </row>
    <row r="38" spans="3:23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0"/>
        <v>41425</v>
      </c>
      <c r="G38" s="1">
        <f t="shared" si="1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W38" s="2" t="str">
        <f t="shared" si="4"/>
        <v>FY13-11</v>
      </c>
    </row>
    <row r="39" spans="3:23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0"/>
        <v>41439</v>
      </c>
      <c r="G39" s="1">
        <f t="shared" si="1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W39" s="2" t="str">
        <f t="shared" si="4"/>
        <v>FY13-12</v>
      </c>
    </row>
    <row r="40" spans="3:23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0"/>
        <v>41453</v>
      </c>
      <c r="G40" s="1">
        <f t="shared" si="1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W40" s="2" t="str">
        <f t="shared" si="4"/>
        <v>FY13-13</v>
      </c>
    </row>
    <row r="41" spans="3:23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0"/>
        <v>41467</v>
      </c>
      <c r="G41" s="1">
        <f t="shared" si="1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W41" s="2" t="str">
        <f t="shared" si="4"/>
        <v>FY13-14</v>
      </c>
    </row>
    <row r="42" spans="3:23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0"/>
        <v>41481</v>
      </c>
      <c r="G42" s="1">
        <f t="shared" si="1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W42" s="2" t="str">
        <f t="shared" si="4"/>
        <v>FY13-15</v>
      </c>
    </row>
    <row r="43" spans="3:23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0"/>
        <v>41495</v>
      </c>
      <c r="G43" s="1">
        <f t="shared" si="1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W43" s="2" t="str">
        <f t="shared" si="4"/>
        <v>FY13-16</v>
      </c>
    </row>
    <row r="44" spans="3:23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0"/>
        <v>41509</v>
      </c>
      <c r="G44" s="1">
        <f t="shared" si="1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W44" s="2" t="str">
        <f t="shared" si="4"/>
        <v>FY13-17</v>
      </c>
    </row>
    <row r="45" spans="3:23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0"/>
        <v>41523</v>
      </c>
      <c r="G45" s="1">
        <f t="shared" si="1"/>
        <v>2014</v>
      </c>
      <c r="H45" s="2">
        <f t="shared" si="7"/>
        <v>13</v>
      </c>
      <c r="I45" s="2" t="str">
        <f t="shared" si="2"/>
        <v>September</v>
      </c>
      <c r="J45" s="2" t="str">
        <f t="shared" si="8"/>
        <v>Mon</v>
      </c>
      <c r="K45" s="2" t="str">
        <f t="shared" si="3"/>
        <v>201418</v>
      </c>
      <c r="W45" s="2" t="str">
        <f t="shared" si="4"/>
        <v>FY14-18</v>
      </c>
    </row>
    <row r="46" spans="3:23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0"/>
        <v>41537</v>
      </c>
      <c r="G46" s="1">
        <f t="shared" si="1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W46" s="2" t="str">
        <f t="shared" si="4"/>
        <v>FY14-19</v>
      </c>
    </row>
    <row r="47" spans="3:23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0"/>
        <v>41551</v>
      </c>
      <c r="G47" s="1">
        <f t="shared" si="1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W47" s="2" t="str">
        <f t="shared" si="4"/>
        <v>FY14-20</v>
      </c>
    </row>
    <row r="48" spans="3:23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0"/>
        <v>41565</v>
      </c>
      <c r="G48" s="1">
        <f t="shared" si="1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W48" s="2" t="str">
        <f t="shared" si="4"/>
        <v>FY14-21</v>
      </c>
    </row>
    <row r="49" spans="3:23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0"/>
        <v>41579</v>
      </c>
      <c r="G49" s="1">
        <f t="shared" si="1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W49" s="2" t="str">
        <f t="shared" si="4"/>
        <v>FY14-22</v>
      </c>
    </row>
    <row r="50" spans="3:23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0"/>
        <v>41593</v>
      </c>
      <c r="G50" s="1">
        <f t="shared" si="1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W50" s="2" t="str">
        <f t="shared" si="4"/>
        <v>FY14-23</v>
      </c>
    </row>
    <row r="51" spans="3:23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0"/>
        <v>41607</v>
      </c>
      <c r="G51" s="1">
        <f t="shared" si="1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W51" s="2" t="str">
        <f t="shared" si="4"/>
        <v>FY14-24</v>
      </c>
    </row>
    <row r="52" spans="3:23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0"/>
        <v>41621</v>
      </c>
      <c r="G52" s="1">
        <f t="shared" si="1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W52" s="2" t="str">
        <f t="shared" si="4"/>
        <v>FY14-25</v>
      </c>
    </row>
    <row r="53" spans="3:23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0"/>
        <v>41635</v>
      </c>
      <c r="G53" s="1">
        <f t="shared" si="1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W53" s="2" t="str">
        <f t="shared" si="4"/>
        <v>FY14-26</v>
      </c>
    </row>
    <row r="54" spans="3:23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0"/>
        <v>41649</v>
      </c>
      <c r="G54" s="1">
        <f t="shared" si="1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W54" s="2" t="str">
        <f t="shared" si="4"/>
        <v>FY14-01</v>
      </c>
    </row>
    <row r="55" spans="3:23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0"/>
        <v>41663</v>
      </c>
      <c r="G55" s="1">
        <f t="shared" si="1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W55" s="2" t="str">
        <f t="shared" si="4"/>
        <v>FY14-02</v>
      </c>
    </row>
    <row r="56" spans="3:23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0"/>
        <v>41677</v>
      </c>
      <c r="G56" s="1">
        <f t="shared" si="1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W56" s="2" t="str">
        <f t="shared" si="4"/>
        <v>FY14-03</v>
      </c>
    </row>
    <row r="57" spans="3:23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0"/>
        <v>41691</v>
      </c>
      <c r="G57" s="1">
        <f t="shared" si="1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W57" s="2" t="str">
        <f t="shared" si="4"/>
        <v>FY14-04</v>
      </c>
    </row>
    <row r="58" spans="3:23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0"/>
        <v>41705</v>
      </c>
      <c r="G58" s="1">
        <f t="shared" si="1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W58" s="2" t="str">
        <f t="shared" si="4"/>
        <v>FY14-05</v>
      </c>
    </row>
    <row r="59" spans="3:23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0"/>
        <v>41719</v>
      </c>
      <c r="G59" s="1">
        <f t="shared" si="1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W59" s="2" t="str">
        <f t="shared" si="4"/>
        <v>FY14-06</v>
      </c>
    </row>
    <row r="60" spans="3:23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0"/>
        <v>41733</v>
      </c>
      <c r="G60" s="1">
        <f t="shared" si="1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W60" s="2" t="str">
        <f t="shared" si="4"/>
        <v>FY14-07</v>
      </c>
    </row>
    <row r="61" spans="3:23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0"/>
        <v>41747</v>
      </c>
      <c r="G61" s="1">
        <f t="shared" si="1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W61" s="2" t="str">
        <f t="shared" si="4"/>
        <v>FY14-08</v>
      </c>
    </row>
    <row r="62" spans="3:23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0"/>
        <v>41761</v>
      </c>
      <c r="G62" s="1">
        <f t="shared" si="1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W62" s="2" t="str">
        <f t="shared" si="4"/>
        <v>FY14-09</v>
      </c>
    </row>
    <row r="63" spans="3:23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0"/>
        <v>41775</v>
      </c>
      <c r="G63" s="1">
        <f t="shared" si="1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W63" s="2" t="str">
        <f t="shared" si="4"/>
        <v>FY14-10</v>
      </c>
    </row>
    <row r="64" spans="3:23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0"/>
        <v>41789</v>
      </c>
      <c r="G64" s="1">
        <f t="shared" si="1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W64" s="2" t="str">
        <f t="shared" si="4"/>
        <v>FY14-11</v>
      </c>
    </row>
    <row r="65" spans="3:23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0"/>
        <v>41803</v>
      </c>
      <c r="G65" s="1">
        <f t="shared" si="1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W65" s="2" t="str">
        <f t="shared" si="4"/>
        <v>FY14-12</v>
      </c>
    </row>
    <row r="66" spans="3:23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0"/>
        <v>41817</v>
      </c>
      <c r="G66" s="1">
        <f t="shared" si="1"/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W66" s="2" t="str">
        <f t="shared" si="4"/>
        <v>FY14-13</v>
      </c>
    </row>
    <row r="67" spans="3:23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9">E67+5</f>
        <v>41831</v>
      </c>
      <c r="G67" s="1">
        <f t="shared" ref="G67:G122" si="10">IF(E67&lt;DATE(2012,9,1),2012,IF(E67&lt;DATE(2013,9,1),2013,IF(E67&lt;DATE(2014,9,1),2014,IF(E67&lt;DATE(2015,9,1),2015,2016))))</f>
        <v>2014</v>
      </c>
      <c r="H67" s="2" t="str">
        <f t="shared" si="7"/>
        <v/>
      </c>
      <c r="I67" s="2" t="str">
        <f t="shared" ref="I67:I124" si="11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2">G67 &amp; C67</f>
        <v>201414</v>
      </c>
      <c r="W67" s="2" t="str">
        <f t="shared" ref="W67:W124" si="13">"FY" &amp; RIGHT(G67,2) &amp; "-" &amp; IF(C67&lt;10,"0" &amp; C67,C67)</f>
        <v>FY14-14</v>
      </c>
    </row>
    <row r="68" spans="3:23" x14ac:dyDescent="0.2">
      <c r="C68" s="2">
        <v>15</v>
      </c>
      <c r="D68" s="9">
        <f t="shared" ref="D68:D124" si="14">E67+1</f>
        <v>41827</v>
      </c>
      <c r="E68" s="9">
        <f t="shared" ref="E68:E124" si="15">D68+13</f>
        <v>41840</v>
      </c>
      <c r="F68" s="9">
        <f t="shared" si="9"/>
        <v>41845</v>
      </c>
      <c r="G68" s="1">
        <f t="shared" si="10"/>
        <v>2014</v>
      </c>
      <c r="H68" s="2" t="str">
        <f t="shared" ref="H68:H118" si="16">IF(AND(D68&lt;DATE(G67,9,1),E68&gt;DATE(G67,8,31)),DATE(G67,9,1)-D68,"")</f>
        <v/>
      </c>
      <c r="I68" s="2" t="str">
        <f t="shared" si="11"/>
        <v>July</v>
      </c>
      <c r="J68" s="2" t="str">
        <f t="shared" ref="J68:J124" si="17">IF(MONTH(E68)=MONTH(E67),"",CHOOSE(WEEKDAY(DATE(G68,MONTH(F68),1),2),"Mon","Tue","Wed","Thu","Fri","Sat","Sun"))</f>
        <v/>
      </c>
      <c r="K68" s="2" t="str">
        <f t="shared" si="12"/>
        <v>201415</v>
      </c>
      <c r="W68" s="2" t="str">
        <f t="shared" si="13"/>
        <v>FY14-15</v>
      </c>
    </row>
    <row r="69" spans="3:23" x14ac:dyDescent="0.2">
      <c r="C69" s="2">
        <v>16</v>
      </c>
      <c r="D69" s="9">
        <f t="shared" si="14"/>
        <v>41841</v>
      </c>
      <c r="E69" s="9">
        <f t="shared" si="15"/>
        <v>41854</v>
      </c>
      <c r="F69" s="9">
        <f t="shared" si="9"/>
        <v>41859</v>
      </c>
      <c r="G69" s="1">
        <f t="shared" si="10"/>
        <v>2014</v>
      </c>
      <c r="H69" s="2" t="str">
        <f t="shared" si="16"/>
        <v/>
      </c>
      <c r="I69" s="2" t="str">
        <f t="shared" si="11"/>
        <v>August</v>
      </c>
      <c r="J69" s="2" t="str">
        <f t="shared" si="17"/>
        <v>Fri</v>
      </c>
      <c r="K69" s="2" t="str">
        <f t="shared" si="12"/>
        <v>201416</v>
      </c>
      <c r="W69" s="2" t="str">
        <f t="shared" si="13"/>
        <v>FY14-16</v>
      </c>
    </row>
    <row r="70" spans="3:23" x14ac:dyDescent="0.2">
      <c r="C70" s="2">
        <v>17</v>
      </c>
      <c r="D70" s="9">
        <f t="shared" si="14"/>
        <v>41855</v>
      </c>
      <c r="E70" s="9">
        <f t="shared" si="15"/>
        <v>41868</v>
      </c>
      <c r="F70" s="9">
        <f t="shared" si="9"/>
        <v>41873</v>
      </c>
      <c r="G70" s="1">
        <f t="shared" si="10"/>
        <v>2014</v>
      </c>
      <c r="H70" s="2" t="str">
        <f t="shared" si="16"/>
        <v/>
      </c>
      <c r="I70" s="2" t="str">
        <f t="shared" si="11"/>
        <v>August</v>
      </c>
      <c r="J70" s="2" t="str">
        <f t="shared" si="17"/>
        <v/>
      </c>
      <c r="K70" s="2" t="str">
        <f t="shared" si="12"/>
        <v>201417</v>
      </c>
      <c r="W70" s="2" t="str">
        <f t="shared" si="13"/>
        <v>FY14-17</v>
      </c>
    </row>
    <row r="71" spans="3:23" x14ac:dyDescent="0.2">
      <c r="C71" s="2">
        <v>18</v>
      </c>
      <c r="D71" s="9">
        <f t="shared" si="14"/>
        <v>41869</v>
      </c>
      <c r="E71" s="9">
        <f t="shared" si="15"/>
        <v>41882</v>
      </c>
      <c r="F71" s="9">
        <f t="shared" si="9"/>
        <v>41887</v>
      </c>
      <c r="G71" s="1">
        <f t="shared" si="10"/>
        <v>2014</v>
      </c>
      <c r="H71" s="2" t="str">
        <f t="shared" si="16"/>
        <v/>
      </c>
      <c r="I71" s="2" t="str">
        <f t="shared" si="11"/>
        <v>September</v>
      </c>
      <c r="J71" s="2" t="str">
        <f t="shared" si="17"/>
        <v/>
      </c>
      <c r="K71" s="2" t="str">
        <f t="shared" si="12"/>
        <v>201418</v>
      </c>
      <c r="W71" s="2" t="str">
        <f t="shared" si="13"/>
        <v>FY14-18</v>
      </c>
    </row>
    <row r="72" spans="3:23" x14ac:dyDescent="0.2">
      <c r="C72" s="2">
        <v>19</v>
      </c>
      <c r="D72" s="9">
        <f t="shared" si="14"/>
        <v>41883</v>
      </c>
      <c r="E72" s="9">
        <f t="shared" si="15"/>
        <v>41896</v>
      </c>
      <c r="F72" s="9">
        <f t="shared" si="9"/>
        <v>41901</v>
      </c>
      <c r="G72" s="1">
        <f t="shared" si="10"/>
        <v>2015</v>
      </c>
      <c r="H72" s="2" t="str">
        <f t="shared" si="16"/>
        <v/>
      </c>
      <c r="I72" s="2" t="str">
        <f t="shared" si="11"/>
        <v>September</v>
      </c>
      <c r="J72" s="2" t="str">
        <f t="shared" si="17"/>
        <v>Tue</v>
      </c>
      <c r="K72" s="2" t="str">
        <f t="shared" si="12"/>
        <v>201519</v>
      </c>
      <c r="W72" s="2" t="str">
        <f t="shared" si="13"/>
        <v>FY15-19</v>
      </c>
    </row>
    <row r="73" spans="3:23" x14ac:dyDescent="0.2">
      <c r="C73" s="2">
        <v>20</v>
      </c>
      <c r="D73" s="9">
        <f t="shared" si="14"/>
        <v>41897</v>
      </c>
      <c r="E73" s="9">
        <f t="shared" si="15"/>
        <v>41910</v>
      </c>
      <c r="F73" s="9">
        <f t="shared" si="9"/>
        <v>41915</v>
      </c>
      <c r="G73" s="1">
        <f t="shared" si="10"/>
        <v>2015</v>
      </c>
      <c r="H73" s="2" t="str">
        <f t="shared" si="16"/>
        <v/>
      </c>
      <c r="I73" s="2" t="str">
        <f t="shared" si="11"/>
        <v>October</v>
      </c>
      <c r="J73" s="2" t="str">
        <f t="shared" si="17"/>
        <v/>
      </c>
      <c r="K73" s="2" t="str">
        <f t="shared" si="12"/>
        <v>201520</v>
      </c>
      <c r="W73" s="2" t="str">
        <f t="shared" si="13"/>
        <v>FY15-20</v>
      </c>
    </row>
    <row r="74" spans="3:23" x14ac:dyDescent="0.2">
      <c r="C74" s="2">
        <v>21</v>
      </c>
      <c r="D74" s="9">
        <f t="shared" si="14"/>
        <v>41911</v>
      </c>
      <c r="E74" s="9">
        <f t="shared" si="15"/>
        <v>41924</v>
      </c>
      <c r="F74" s="9">
        <f t="shared" si="9"/>
        <v>41929</v>
      </c>
      <c r="G74" s="1">
        <f t="shared" si="10"/>
        <v>2015</v>
      </c>
      <c r="H74" s="2" t="str">
        <f t="shared" si="16"/>
        <v/>
      </c>
      <c r="I74" s="2" t="str">
        <f t="shared" si="11"/>
        <v>October</v>
      </c>
      <c r="J74" s="2" t="str">
        <f t="shared" si="17"/>
        <v>Thu</v>
      </c>
      <c r="K74" s="2" t="str">
        <f t="shared" si="12"/>
        <v>201521</v>
      </c>
      <c r="W74" s="2" t="str">
        <f t="shared" si="13"/>
        <v>FY15-21</v>
      </c>
    </row>
    <row r="75" spans="3:23" x14ac:dyDescent="0.2">
      <c r="C75" s="2">
        <v>22</v>
      </c>
      <c r="D75" s="9">
        <f t="shared" si="14"/>
        <v>41925</v>
      </c>
      <c r="E75" s="9">
        <f t="shared" si="15"/>
        <v>41938</v>
      </c>
      <c r="F75" s="9">
        <f t="shared" si="9"/>
        <v>41943</v>
      </c>
      <c r="G75" s="1">
        <f t="shared" si="10"/>
        <v>2015</v>
      </c>
      <c r="H75" s="2" t="str">
        <f t="shared" si="16"/>
        <v/>
      </c>
      <c r="I75" s="2" t="str">
        <f t="shared" si="11"/>
        <v>October</v>
      </c>
      <c r="J75" s="2" t="str">
        <f t="shared" si="17"/>
        <v/>
      </c>
      <c r="K75" s="2" t="str">
        <f t="shared" si="12"/>
        <v>201522</v>
      </c>
      <c r="W75" s="2" t="str">
        <f t="shared" si="13"/>
        <v>FY15-22</v>
      </c>
    </row>
    <row r="76" spans="3:23" x14ac:dyDescent="0.2">
      <c r="C76" s="2">
        <v>23</v>
      </c>
      <c r="D76" s="9">
        <f t="shared" si="14"/>
        <v>41939</v>
      </c>
      <c r="E76" s="9">
        <f t="shared" si="15"/>
        <v>41952</v>
      </c>
      <c r="F76" s="9">
        <f t="shared" si="9"/>
        <v>41957</v>
      </c>
      <c r="G76" s="1">
        <f t="shared" si="10"/>
        <v>2015</v>
      </c>
      <c r="H76" s="2" t="str">
        <f t="shared" si="16"/>
        <v/>
      </c>
      <c r="I76" s="2" t="str">
        <f t="shared" si="11"/>
        <v>November</v>
      </c>
      <c r="J76" s="2" t="str">
        <f t="shared" si="17"/>
        <v>Sun</v>
      </c>
      <c r="K76" s="2" t="str">
        <f t="shared" si="12"/>
        <v>201523</v>
      </c>
      <c r="W76" s="2" t="str">
        <f t="shared" si="13"/>
        <v>FY15-23</v>
      </c>
    </row>
    <row r="77" spans="3:23" x14ac:dyDescent="0.2">
      <c r="C77" s="2">
        <v>24</v>
      </c>
      <c r="D77" s="9">
        <f t="shared" si="14"/>
        <v>41953</v>
      </c>
      <c r="E77" s="9">
        <f t="shared" si="15"/>
        <v>41966</v>
      </c>
      <c r="F77" s="9">
        <f t="shared" si="9"/>
        <v>41971</v>
      </c>
      <c r="G77" s="1">
        <f t="shared" si="10"/>
        <v>2015</v>
      </c>
      <c r="H77" s="2" t="str">
        <f t="shared" si="16"/>
        <v/>
      </c>
      <c r="I77" s="2" t="str">
        <f t="shared" si="11"/>
        <v>November</v>
      </c>
      <c r="J77" s="2" t="str">
        <f t="shared" si="17"/>
        <v/>
      </c>
      <c r="K77" s="2" t="str">
        <f t="shared" si="12"/>
        <v>201524</v>
      </c>
      <c r="W77" s="2" t="str">
        <f t="shared" si="13"/>
        <v>FY15-24</v>
      </c>
    </row>
    <row r="78" spans="3:23" x14ac:dyDescent="0.2">
      <c r="C78" s="2">
        <v>25</v>
      </c>
      <c r="D78" s="9">
        <f t="shared" si="14"/>
        <v>41967</v>
      </c>
      <c r="E78" s="9">
        <f t="shared" si="15"/>
        <v>41980</v>
      </c>
      <c r="F78" s="9">
        <f t="shared" si="9"/>
        <v>41985</v>
      </c>
      <c r="G78" s="1">
        <f t="shared" si="10"/>
        <v>2015</v>
      </c>
      <c r="H78" s="2" t="str">
        <f t="shared" si="16"/>
        <v/>
      </c>
      <c r="I78" s="2" t="str">
        <f t="shared" si="11"/>
        <v>December</v>
      </c>
      <c r="J78" s="2" t="str">
        <f t="shared" si="17"/>
        <v>Tue</v>
      </c>
      <c r="K78" s="2" t="str">
        <f t="shared" si="12"/>
        <v>201525</v>
      </c>
      <c r="W78" s="2" t="str">
        <f t="shared" si="13"/>
        <v>FY15-25</v>
      </c>
    </row>
    <row r="79" spans="3:23" x14ac:dyDescent="0.2">
      <c r="C79" s="2">
        <v>26</v>
      </c>
      <c r="D79" s="9">
        <f t="shared" si="14"/>
        <v>41981</v>
      </c>
      <c r="E79" s="9">
        <f t="shared" si="15"/>
        <v>41994</v>
      </c>
      <c r="F79" s="9">
        <f t="shared" si="9"/>
        <v>41999</v>
      </c>
      <c r="G79" s="1">
        <f t="shared" si="10"/>
        <v>2015</v>
      </c>
      <c r="H79" s="2" t="str">
        <f t="shared" si="16"/>
        <v/>
      </c>
      <c r="I79" s="2" t="str">
        <f t="shared" si="11"/>
        <v>December</v>
      </c>
      <c r="J79" s="2" t="str">
        <f t="shared" si="17"/>
        <v/>
      </c>
      <c r="K79" s="2" t="str">
        <f t="shared" si="12"/>
        <v>201526</v>
      </c>
      <c r="W79" s="2" t="str">
        <f t="shared" si="13"/>
        <v>FY15-26</v>
      </c>
    </row>
    <row r="80" spans="3:23" x14ac:dyDescent="0.2">
      <c r="C80" s="2">
        <v>1</v>
      </c>
      <c r="D80" s="9">
        <f t="shared" si="14"/>
        <v>41995</v>
      </c>
      <c r="E80" s="9">
        <f t="shared" si="15"/>
        <v>42008</v>
      </c>
      <c r="F80" s="9">
        <f t="shared" si="9"/>
        <v>42013</v>
      </c>
      <c r="G80" s="1">
        <f t="shared" si="10"/>
        <v>2015</v>
      </c>
      <c r="H80" s="2" t="str">
        <f t="shared" si="16"/>
        <v/>
      </c>
      <c r="I80" s="2" t="str">
        <f t="shared" si="11"/>
        <v>January</v>
      </c>
      <c r="J80" s="2" t="str">
        <f t="shared" si="17"/>
        <v>Thu</v>
      </c>
      <c r="K80" s="2" t="str">
        <f t="shared" si="12"/>
        <v>20151</v>
      </c>
      <c r="W80" s="2" t="str">
        <f t="shared" si="13"/>
        <v>FY15-01</v>
      </c>
    </row>
    <row r="81" spans="3:23" x14ac:dyDescent="0.2">
      <c r="C81" s="2">
        <v>2</v>
      </c>
      <c r="D81" s="9">
        <f t="shared" si="14"/>
        <v>42009</v>
      </c>
      <c r="E81" s="9">
        <f t="shared" si="15"/>
        <v>42022</v>
      </c>
      <c r="F81" s="9">
        <f t="shared" si="9"/>
        <v>42027</v>
      </c>
      <c r="G81" s="1">
        <f t="shared" si="10"/>
        <v>2015</v>
      </c>
      <c r="H81" s="2" t="str">
        <f t="shared" si="16"/>
        <v/>
      </c>
      <c r="I81" s="2" t="str">
        <f t="shared" si="11"/>
        <v>January</v>
      </c>
      <c r="J81" s="2" t="str">
        <f t="shared" si="17"/>
        <v/>
      </c>
      <c r="K81" s="2" t="str">
        <f t="shared" si="12"/>
        <v>20152</v>
      </c>
      <c r="W81" s="2" t="str">
        <f t="shared" si="13"/>
        <v>FY15-02</v>
      </c>
    </row>
    <row r="82" spans="3:23" x14ac:dyDescent="0.2">
      <c r="C82" s="2">
        <v>3</v>
      </c>
      <c r="D82" s="9">
        <f t="shared" si="14"/>
        <v>42023</v>
      </c>
      <c r="E82" s="9">
        <f t="shared" si="15"/>
        <v>42036</v>
      </c>
      <c r="F82" s="9">
        <f t="shared" si="9"/>
        <v>42041</v>
      </c>
      <c r="G82" s="1">
        <f t="shared" si="10"/>
        <v>2015</v>
      </c>
      <c r="H82" s="2" t="str">
        <f t="shared" si="16"/>
        <v/>
      </c>
      <c r="I82" s="2" t="str">
        <f t="shared" si="11"/>
        <v>February</v>
      </c>
      <c r="J82" s="2" t="str">
        <f t="shared" si="17"/>
        <v>Sun</v>
      </c>
      <c r="K82" s="2" t="str">
        <f t="shared" si="12"/>
        <v>20153</v>
      </c>
      <c r="W82" s="2" t="str">
        <f t="shared" si="13"/>
        <v>FY15-03</v>
      </c>
    </row>
    <row r="83" spans="3:23" x14ac:dyDescent="0.2">
      <c r="C83" s="2">
        <v>4</v>
      </c>
      <c r="D83" s="9">
        <f t="shared" si="14"/>
        <v>42037</v>
      </c>
      <c r="E83" s="9">
        <f t="shared" si="15"/>
        <v>42050</v>
      </c>
      <c r="F83" s="9">
        <f t="shared" si="9"/>
        <v>42055</v>
      </c>
      <c r="G83" s="1">
        <f t="shared" si="10"/>
        <v>2015</v>
      </c>
      <c r="H83" s="2" t="str">
        <f t="shared" si="16"/>
        <v/>
      </c>
      <c r="I83" s="2" t="str">
        <f t="shared" si="11"/>
        <v>February</v>
      </c>
      <c r="J83" s="2" t="str">
        <f t="shared" si="17"/>
        <v/>
      </c>
      <c r="K83" s="2" t="str">
        <f t="shared" si="12"/>
        <v>20154</v>
      </c>
      <c r="W83" s="2" t="str">
        <f t="shared" si="13"/>
        <v>FY15-04</v>
      </c>
    </row>
    <row r="84" spans="3:23" x14ac:dyDescent="0.2">
      <c r="C84" s="2">
        <v>5</v>
      </c>
      <c r="D84" s="9">
        <f t="shared" si="14"/>
        <v>42051</v>
      </c>
      <c r="E84" s="9">
        <f t="shared" si="15"/>
        <v>42064</v>
      </c>
      <c r="F84" s="9">
        <f t="shared" si="9"/>
        <v>42069</v>
      </c>
      <c r="G84" s="1">
        <f t="shared" si="10"/>
        <v>2015</v>
      </c>
      <c r="H84" s="2" t="str">
        <f t="shared" si="16"/>
        <v/>
      </c>
      <c r="I84" s="2" t="str">
        <f t="shared" si="11"/>
        <v>March</v>
      </c>
      <c r="J84" s="2" t="str">
        <f t="shared" si="17"/>
        <v>Sun</v>
      </c>
      <c r="K84" s="2" t="str">
        <f t="shared" si="12"/>
        <v>20155</v>
      </c>
      <c r="W84" s="2" t="str">
        <f t="shared" si="13"/>
        <v>FY15-05</v>
      </c>
    </row>
    <row r="85" spans="3:23" x14ac:dyDescent="0.2">
      <c r="C85" s="2">
        <v>6</v>
      </c>
      <c r="D85" s="9">
        <f t="shared" si="14"/>
        <v>42065</v>
      </c>
      <c r="E85" s="9">
        <f t="shared" si="15"/>
        <v>42078</v>
      </c>
      <c r="F85" s="9">
        <f t="shared" si="9"/>
        <v>42083</v>
      </c>
      <c r="G85" s="1">
        <f t="shared" si="10"/>
        <v>2015</v>
      </c>
      <c r="H85" s="2" t="str">
        <f t="shared" si="16"/>
        <v/>
      </c>
      <c r="I85" s="2" t="str">
        <f t="shared" si="11"/>
        <v>March</v>
      </c>
      <c r="J85" s="2" t="str">
        <f t="shared" si="17"/>
        <v/>
      </c>
      <c r="K85" s="2" t="str">
        <f t="shared" si="12"/>
        <v>20156</v>
      </c>
      <c r="W85" s="2" t="str">
        <f t="shared" si="13"/>
        <v>FY15-06</v>
      </c>
    </row>
    <row r="86" spans="3:23" x14ac:dyDescent="0.2">
      <c r="C86" s="2">
        <v>7</v>
      </c>
      <c r="D86" s="9">
        <f t="shared" si="14"/>
        <v>42079</v>
      </c>
      <c r="E86" s="9">
        <f t="shared" si="15"/>
        <v>42092</v>
      </c>
      <c r="F86" s="9">
        <f t="shared" si="9"/>
        <v>42097</v>
      </c>
      <c r="G86" s="1">
        <f t="shared" si="10"/>
        <v>2015</v>
      </c>
      <c r="H86" s="2" t="str">
        <f t="shared" si="16"/>
        <v/>
      </c>
      <c r="I86" s="2" t="str">
        <f t="shared" si="11"/>
        <v>April</v>
      </c>
      <c r="J86" s="2" t="str">
        <f t="shared" si="17"/>
        <v/>
      </c>
      <c r="K86" s="2" t="str">
        <f t="shared" si="12"/>
        <v>20157</v>
      </c>
      <c r="W86" s="2" t="str">
        <f t="shared" si="13"/>
        <v>FY15-07</v>
      </c>
    </row>
    <row r="87" spans="3:23" x14ac:dyDescent="0.2">
      <c r="C87" s="2">
        <v>8</v>
      </c>
      <c r="D87" s="9">
        <f t="shared" si="14"/>
        <v>42093</v>
      </c>
      <c r="E87" s="9">
        <f t="shared" si="15"/>
        <v>42106</v>
      </c>
      <c r="F87" s="9">
        <f t="shared" si="9"/>
        <v>42111</v>
      </c>
      <c r="G87" s="1">
        <f t="shared" si="10"/>
        <v>2015</v>
      </c>
      <c r="H87" s="2" t="str">
        <f t="shared" si="16"/>
        <v/>
      </c>
      <c r="I87" s="2" t="str">
        <f t="shared" si="11"/>
        <v>April</v>
      </c>
      <c r="J87" s="2" t="str">
        <f t="shared" si="17"/>
        <v>Wed</v>
      </c>
      <c r="K87" s="2" t="str">
        <f t="shared" si="12"/>
        <v>20158</v>
      </c>
      <c r="W87" s="2" t="str">
        <f t="shared" si="13"/>
        <v>FY15-08</v>
      </c>
    </row>
    <row r="88" spans="3:23" x14ac:dyDescent="0.2">
      <c r="C88" s="2">
        <v>9</v>
      </c>
      <c r="D88" s="9">
        <f t="shared" si="14"/>
        <v>42107</v>
      </c>
      <c r="E88" s="9">
        <f t="shared" si="15"/>
        <v>42120</v>
      </c>
      <c r="F88" s="9">
        <f t="shared" si="9"/>
        <v>42125</v>
      </c>
      <c r="G88" s="1">
        <f t="shared" si="10"/>
        <v>2015</v>
      </c>
      <c r="H88" s="2" t="str">
        <f t="shared" si="16"/>
        <v/>
      </c>
      <c r="I88" s="2" t="str">
        <f t="shared" si="11"/>
        <v>May</v>
      </c>
      <c r="J88" s="2" t="str">
        <f t="shared" si="17"/>
        <v/>
      </c>
      <c r="K88" s="2" t="str">
        <f t="shared" si="12"/>
        <v>20159</v>
      </c>
      <c r="W88" s="2" t="str">
        <f t="shared" si="13"/>
        <v>FY15-09</v>
      </c>
    </row>
    <row r="89" spans="3:23" x14ac:dyDescent="0.2">
      <c r="C89" s="2">
        <v>10</v>
      </c>
      <c r="D89" s="9">
        <f t="shared" si="14"/>
        <v>42121</v>
      </c>
      <c r="E89" s="9">
        <f t="shared" si="15"/>
        <v>42134</v>
      </c>
      <c r="F89" s="9">
        <f t="shared" si="9"/>
        <v>42139</v>
      </c>
      <c r="G89" s="1">
        <f t="shared" si="10"/>
        <v>2015</v>
      </c>
      <c r="H89" s="2" t="str">
        <f t="shared" si="16"/>
        <v/>
      </c>
      <c r="I89" s="2" t="str">
        <f t="shared" si="11"/>
        <v>May</v>
      </c>
      <c r="J89" s="2" t="str">
        <f t="shared" si="17"/>
        <v>Fri</v>
      </c>
      <c r="K89" s="2" t="str">
        <f t="shared" si="12"/>
        <v>201510</v>
      </c>
      <c r="W89" s="2" t="str">
        <f t="shared" si="13"/>
        <v>FY15-10</v>
      </c>
    </row>
    <row r="90" spans="3:23" x14ac:dyDescent="0.2">
      <c r="C90" s="2">
        <v>11</v>
      </c>
      <c r="D90" s="9">
        <f t="shared" si="14"/>
        <v>42135</v>
      </c>
      <c r="E90" s="9">
        <f t="shared" si="15"/>
        <v>42148</v>
      </c>
      <c r="F90" s="9">
        <f t="shared" si="9"/>
        <v>42153</v>
      </c>
      <c r="G90" s="1">
        <f t="shared" si="10"/>
        <v>2015</v>
      </c>
      <c r="H90" s="2" t="str">
        <f t="shared" si="16"/>
        <v/>
      </c>
      <c r="I90" s="2" t="str">
        <f t="shared" si="11"/>
        <v>May</v>
      </c>
      <c r="J90" s="2" t="str">
        <f t="shared" si="17"/>
        <v/>
      </c>
      <c r="K90" s="2" t="str">
        <f t="shared" si="12"/>
        <v>201511</v>
      </c>
      <c r="W90" s="2" t="str">
        <f t="shared" si="13"/>
        <v>FY15-11</v>
      </c>
    </row>
    <row r="91" spans="3:23" x14ac:dyDescent="0.2">
      <c r="C91" s="2">
        <v>12</v>
      </c>
      <c r="D91" s="9">
        <f t="shared" si="14"/>
        <v>42149</v>
      </c>
      <c r="E91" s="9">
        <f t="shared" si="15"/>
        <v>42162</v>
      </c>
      <c r="F91" s="9">
        <f t="shared" si="9"/>
        <v>42167</v>
      </c>
      <c r="G91" s="1">
        <f t="shared" si="10"/>
        <v>2015</v>
      </c>
      <c r="H91" s="2" t="str">
        <f t="shared" si="16"/>
        <v/>
      </c>
      <c r="I91" s="2" t="str">
        <f t="shared" si="11"/>
        <v>June</v>
      </c>
      <c r="J91" s="2" t="str">
        <f t="shared" si="17"/>
        <v>Mon</v>
      </c>
      <c r="K91" s="2" t="str">
        <f t="shared" si="12"/>
        <v>201512</v>
      </c>
      <c r="W91" s="2" t="str">
        <f t="shared" si="13"/>
        <v>FY15-12</v>
      </c>
    </row>
    <row r="92" spans="3:23" x14ac:dyDescent="0.2">
      <c r="C92" s="2">
        <v>13</v>
      </c>
      <c r="D92" s="9">
        <f t="shared" si="14"/>
        <v>42163</v>
      </c>
      <c r="E92" s="9">
        <f t="shared" si="15"/>
        <v>42176</v>
      </c>
      <c r="F92" s="9">
        <f t="shared" si="9"/>
        <v>42181</v>
      </c>
      <c r="G92" s="1">
        <f t="shared" si="10"/>
        <v>2015</v>
      </c>
      <c r="H92" s="2" t="str">
        <f t="shared" si="16"/>
        <v/>
      </c>
      <c r="I92" s="2" t="str">
        <f t="shared" si="11"/>
        <v>June</v>
      </c>
      <c r="J92" s="2" t="str">
        <f t="shared" si="17"/>
        <v/>
      </c>
      <c r="K92" s="2" t="str">
        <f t="shared" si="12"/>
        <v>201513</v>
      </c>
      <c r="W92" s="2" t="str">
        <f t="shared" si="13"/>
        <v>FY15-13</v>
      </c>
    </row>
    <row r="93" spans="3:23" x14ac:dyDescent="0.2">
      <c r="C93" s="2">
        <v>14</v>
      </c>
      <c r="D93" s="9">
        <f t="shared" si="14"/>
        <v>42177</v>
      </c>
      <c r="E93" s="9">
        <f t="shared" si="15"/>
        <v>42190</v>
      </c>
      <c r="F93" s="9">
        <f t="shared" si="9"/>
        <v>42195</v>
      </c>
      <c r="G93" s="1">
        <f t="shared" si="10"/>
        <v>2015</v>
      </c>
      <c r="H93" s="2" t="str">
        <f t="shared" si="16"/>
        <v/>
      </c>
      <c r="I93" s="2" t="str">
        <f t="shared" si="11"/>
        <v>July</v>
      </c>
      <c r="J93" s="2" t="str">
        <f t="shared" si="17"/>
        <v>Wed</v>
      </c>
      <c r="K93" s="2" t="str">
        <f t="shared" si="12"/>
        <v>201514</v>
      </c>
      <c r="W93" s="2" t="str">
        <f t="shared" si="13"/>
        <v>FY15-14</v>
      </c>
    </row>
    <row r="94" spans="3:23" x14ac:dyDescent="0.2">
      <c r="C94" s="2">
        <v>15</v>
      </c>
      <c r="D94" s="9">
        <f t="shared" si="14"/>
        <v>42191</v>
      </c>
      <c r="E94" s="9">
        <f t="shared" si="15"/>
        <v>42204</v>
      </c>
      <c r="F94" s="9">
        <f t="shared" si="9"/>
        <v>42209</v>
      </c>
      <c r="G94" s="1">
        <f t="shared" si="10"/>
        <v>2015</v>
      </c>
      <c r="H94" s="2" t="str">
        <f t="shared" si="16"/>
        <v/>
      </c>
      <c r="I94" s="2" t="str">
        <f t="shared" si="11"/>
        <v>July</v>
      </c>
      <c r="J94" s="2" t="str">
        <f t="shared" si="17"/>
        <v/>
      </c>
      <c r="K94" s="2" t="str">
        <f t="shared" si="12"/>
        <v>201515</v>
      </c>
      <c r="W94" s="2" t="str">
        <f t="shared" si="13"/>
        <v>FY15-15</v>
      </c>
    </row>
    <row r="95" spans="3:23" x14ac:dyDescent="0.2">
      <c r="C95" s="2">
        <v>16</v>
      </c>
      <c r="D95" s="9">
        <f t="shared" si="14"/>
        <v>42205</v>
      </c>
      <c r="E95" s="9">
        <f t="shared" si="15"/>
        <v>42218</v>
      </c>
      <c r="F95" s="9">
        <f t="shared" si="9"/>
        <v>42223</v>
      </c>
      <c r="G95" s="1">
        <f t="shared" si="10"/>
        <v>2015</v>
      </c>
      <c r="H95" s="2" t="str">
        <f t="shared" si="16"/>
        <v/>
      </c>
      <c r="I95" s="2" t="str">
        <f t="shared" si="11"/>
        <v>August</v>
      </c>
      <c r="J95" s="2" t="str">
        <f t="shared" si="17"/>
        <v>Sat</v>
      </c>
      <c r="K95" s="2" t="str">
        <f t="shared" si="12"/>
        <v>201516</v>
      </c>
      <c r="W95" s="2" t="str">
        <f t="shared" si="13"/>
        <v>FY15-16</v>
      </c>
    </row>
    <row r="96" spans="3:23" x14ac:dyDescent="0.2">
      <c r="C96" s="2">
        <v>17</v>
      </c>
      <c r="D96" s="9">
        <f t="shared" si="14"/>
        <v>42219</v>
      </c>
      <c r="E96" s="9">
        <f t="shared" si="15"/>
        <v>42232</v>
      </c>
      <c r="F96" s="9">
        <f t="shared" si="9"/>
        <v>42237</v>
      </c>
      <c r="G96" s="1">
        <f t="shared" si="10"/>
        <v>2015</v>
      </c>
      <c r="H96" s="2" t="str">
        <f t="shared" si="16"/>
        <v/>
      </c>
      <c r="I96" s="2" t="str">
        <f t="shared" si="11"/>
        <v>August</v>
      </c>
      <c r="J96" s="2" t="str">
        <f t="shared" si="17"/>
        <v/>
      </c>
      <c r="K96" s="2" t="str">
        <f t="shared" si="12"/>
        <v>201517</v>
      </c>
      <c r="W96" s="2" t="str">
        <f t="shared" si="13"/>
        <v>FY15-17</v>
      </c>
    </row>
    <row r="97" spans="3:23" x14ac:dyDescent="0.2">
      <c r="C97" s="2">
        <v>18</v>
      </c>
      <c r="D97" s="9">
        <f t="shared" si="14"/>
        <v>42233</v>
      </c>
      <c r="E97" s="9">
        <f t="shared" si="15"/>
        <v>42246</v>
      </c>
      <c r="F97" s="9">
        <f t="shared" si="9"/>
        <v>42251</v>
      </c>
      <c r="G97" s="1">
        <f t="shared" si="10"/>
        <v>2015</v>
      </c>
      <c r="H97" s="2" t="str">
        <f t="shared" si="16"/>
        <v/>
      </c>
      <c r="I97" s="2" t="str">
        <f t="shared" si="11"/>
        <v>September</v>
      </c>
      <c r="J97" s="2" t="str">
        <f t="shared" si="17"/>
        <v/>
      </c>
      <c r="K97" s="2" t="str">
        <f t="shared" si="12"/>
        <v>201518</v>
      </c>
      <c r="W97" s="2" t="str">
        <f t="shared" si="13"/>
        <v>FY15-18</v>
      </c>
    </row>
    <row r="98" spans="3:23" x14ac:dyDescent="0.2">
      <c r="C98" s="2">
        <v>19</v>
      </c>
      <c r="D98" s="9">
        <f t="shared" si="14"/>
        <v>42247</v>
      </c>
      <c r="E98" s="9">
        <f t="shared" si="15"/>
        <v>42260</v>
      </c>
      <c r="F98" s="9">
        <f t="shared" si="9"/>
        <v>42265</v>
      </c>
      <c r="G98" s="1">
        <f t="shared" si="10"/>
        <v>2016</v>
      </c>
      <c r="H98" s="2">
        <f t="shared" si="16"/>
        <v>1</v>
      </c>
      <c r="I98" s="2" t="str">
        <f t="shared" si="11"/>
        <v>September</v>
      </c>
      <c r="J98" s="2" t="str">
        <f t="shared" si="17"/>
        <v>Thu</v>
      </c>
      <c r="K98" s="2" t="str">
        <f t="shared" si="12"/>
        <v>201619</v>
      </c>
      <c r="W98" s="2" t="str">
        <f t="shared" si="13"/>
        <v>FY16-19</v>
      </c>
    </row>
    <row r="99" spans="3:23" x14ac:dyDescent="0.2">
      <c r="C99" s="2">
        <v>20</v>
      </c>
      <c r="D99" s="9">
        <f t="shared" si="14"/>
        <v>42261</v>
      </c>
      <c r="E99" s="9">
        <f t="shared" si="15"/>
        <v>42274</v>
      </c>
      <c r="F99" s="9">
        <f t="shared" si="9"/>
        <v>42279</v>
      </c>
      <c r="G99" s="1">
        <f t="shared" si="10"/>
        <v>2016</v>
      </c>
      <c r="H99" s="2" t="str">
        <f t="shared" si="16"/>
        <v/>
      </c>
      <c r="I99" s="2" t="str">
        <f t="shared" si="11"/>
        <v>October</v>
      </c>
      <c r="J99" s="2" t="str">
        <f t="shared" si="17"/>
        <v/>
      </c>
      <c r="K99" s="2" t="str">
        <f t="shared" si="12"/>
        <v>201620</v>
      </c>
      <c r="W99" s="2" t="str">
        <f t="shared" si="13"/>
        <v>FY16-20</v>
      </c>
    </row>
    <row r="100" spans="3:23" x14ac:dyDescent="0.2">
      <c r="C100" s="2">
        <v>21</v>
      </c>
      <c r="D100" s="9">
        <f t="shared" si="14"/>
        <v>42275</v>
      </c>
      <c r="E100" s="9">
        <f t="shared" si="15"/>
        <v>42288</v>
      </c>
      <c r="F100" s="9">
        <f t="shared" si="9"/>
        <v>42293</v>
      </c>
      <c r="G100" s="1">
        <f t="shared" si="10"/>
        <v>2016</v>
      </c>
      <c r="H100" s="2" t="str">
        <f t="shared" si="16"/>
        <v/>
      </c>
      <c r="I100" s="2" t="str">
        <f t="shared" si="11"/>
        <v>October</v>
      </c>
      <c r="J100" s="2" t="str">
        <f t="shared" si="17"/>
        <v>Sat</v>
      </c>
      <c r="K100" s="2" t="str">
        <f t="shared" si="12"/>
        <v>201621</v>
      </c>
      <c r="W100" s="2" t="str">
        <f t="shared" si="13"/>
        <v>FY16-21</v>
      </c>
    </row>
    <row r="101" spans="3:23" x14ac:dyDescent="0.2">
      <c r="C101" s="2">
        <v>22</v>
      </c>
      <c r="D101" s="9">
        <f t="shared" si="14"/>
        <v>42289</v>
      </c>
      <c r="E101" s="9">
        <f t="shared" si="15"/>
        <v>42302</v>
      </c>
      <c r="F101" s="9">
        <f t="shared" si="9"/>
        <v>42307</v>
      </c>
      <c r="G101" s="1">
        <f t="shared" si="10"/>
        <v>2016</v>
      </c>
      <c r="H101" s="2" t="str">
        <f t="shared" si="16"/>
        <v/>
      </c>
      <c r="I101" s="2" t="str">
        <f t="shared" si="11"/>
        <v>October</v>
      </c>
      <c r="J101" s="2" t="str">
        <f t="shared" si="17"/>
        <v/>
      </c>
      <c r="K101" s="2" t="str">
        <f t="shared" si="12"/>
        <v>201622</v>
      </c>
      <c r="W101" s="2" t="str">
        <f t="shared" si="13"/>
        <v>FY16-22</v>
      </c>
    </row>
    <row r="102" spans="3:23" x14ac:dyDescent="0.2">
      <c r="C102" s="2">
        <v>23</v>
      </c>
      <c r="D102" s="9">
        <f t="shared" si="14"/>
        <v>42303</v>
      </c>
      <c r="E102" s="9">
        <f t="shared" si="15"/>
        <v>42316</v>
      </c>
      <c r="F102" s="9">
        <f t="shared" si="9"/>
        <v>42321</v>
      </c>
      <c r="G102" s="1">
        <f t="shared" si="10"/>
        <v>2016</v>
      </c>
      <c r="H102" s="2" t="str">
        <f t="shared" si="16"/>
        <v/>
      </c>
      <c r="I102" s="2" t="str">
        <f t="shared" si="11"/>
        <v>November</v>
      </c>
      <c r="J102" s="2" t="str">
        <f t="shared" si="17"/>
        <v>Tue</v>
      </c>
      <c r="K102" s="2" t="str">
        <f t="shared" si="12"/>
        <v>201623</v>
      </c>
      <c r="W102" s="2" t="str">
        <f t="shared" si="13"/>
        <v>FY16-23</v>
      </c>
    </row>
    <row r="103" spans="3:23" x14ac:dyDescent="0.2">
      <c r="C103" s="2">
        <v>24</v>
      </c>
      <c r="D103" s="9">
        <f t="shared" si="14"/>
        <v>42317</v>
      </c>
      <c r="E103" s="9">
        <f t="shared" si="15"/>
        <v>42330</v>
      </c>
      <c r="F103" s="9">
        <f t="shared" si="9"/>
        <v>42335</v>
      </c>
      <c r="G103" s="1">
        <f t="shared" si="10"/>
        <v>2016</v>
      </c>
      <c r="H103" s="2" t="str">
        <f t="shared" si="16"/>
        <v/>
      </c>
      <c r="I103" s="2" t="str">
        <f t="shared" si="11"/>
        <v>November</v>
      </c>
      <c r="J103" s="2" t="str">
        <f t="shared" si="17"/>
        <v/>
      </c>
      <c r="K103" s="2" t="str">
        <f t="shared" si="12"/>
        <v>201624</v>
      </c>
      <c r="W103" s="2" t="str">
        <f t="shared" si="13"/>
        <v>FY16-24</v>
      </c>
    </row>
    <row r="104" spans="3:23" x14ac:dyDescent="0.2">
      <c r="C104" s="2">
        <v>25</v>
      </c>
      <c r="D104" s="9">
        <f t="shared" si="14"/>
        <v>42331</v>
      </c>
      <c r="E104" s="9">
        <f t="shared" si="15"/>
        <v>42344</v>
      </c>
      <c r="F104" s="9">
        <f t="shared" si="9"/>
        <v>42349</v>
      </c>
      <c r="G104" s="1">
        <f t="shared" si="10"/>
        <v>2016</v>
      </c>
      <c r="H104" s="2" t="str">
        <f t="shared" si="16"/>
        <v/>
      </c>
      <c r="I104" s="2" t="str">
        <f t="shared" si="11"/>
        <v>December</v>
      </c>
      <c r="J104" s="2" t="str">
        <f t="shared" si="17"/>
        <v>Thu</v>
      </c>
      <c r="K104" s="2" t="str">
        <f t="shared" si="12"/>
        <v>201625</v>
      </c>
      <c r="W104" s="2" t="str">
        <f t="shared" si="13"/>
        <v>FY16-25</v>
      </c>
    </row>
    <row r="105" spans="3:23" x14ac:dyDescent="0.2">
      <c r="C105" s="2">
        <v>26</v>
      </c>
      <c r="D105" s="9">
        <f t="shared" si="14"/>
        <v>42345</v>
      </c>
      <c r="E105" s="9">
        <f t="shared" si="15"/>
        <v>42358</v>
      </c>
      <c r="F105" s="9">
        <f t="shared" si="9"/>
        <v>42363</v>
      </c>
      <c r="G105" s="1">
        <f t="shared" si="10"/>
        <v>2016</v>
      </c>
      <c r="H105" s="2" t="str">
        <f t="shared" si="16"/>
        <v/>
      </c>
      <c r="I105" s="2" t="str">
        <f t="shared" si="11"/>
        <v>December</v>
      </c>
      <c r="J105" s="2" t="str">
        <f t="shared" si="17"/>
        <v/>
      </c>
      <c r="K105" s="2" t="str">
        <f t="shared" si="12"/>
        <v>201626</v>
      </c>
      <c r="W105" s="2" t="str">
        <f t="shared" si="13"/>
        <v>FY16-26</v>
      </c>
    </row>
    <row r="106" spans="3:23" x14ac:dyDescent="0.2">
      <c r="C106" s="2">
        <v>1</v>
      </c>
      <c r="D106" s="9">
        <f t="shared" si="14"/>
        <v>42359</v>
      </c>
      <c r="E106" s="9">
        <f t="shared" si="15"/>
        <v>42372</v>
      </c>
      <c r="F106" s="9">
        <f t="shared" si="9"/>
        <v>42377</v>
      </c>
      <c r="G106" s="1">
        <f t="shared" si="10"/>
        <v>2016</v>
      </c>
      <c r="H106" s="2" t="str">
        <f t="shared" si="16"/>
        <v/>
      </c>
      <c r="I106" s="2" t="str">
        <f t="shared" si="11"/>
        <v>January</v>
      </c>
      <c r="J106" s="2" t="str">
        <f t="shared" si="17"/>
        <v>Fri</v>
      </c>
      <c r="K106" s="2" t="str">
        <f t="shared" si="12"/>
        <v>20161</v>
      </c>
      <c r="W106" s="2" t="str">
        <f t="shared" si="13"/>
        <v>FY16-01</v>
      </c>
    </row>
    <row r="107" spans="3:23" x14ac:dyDescent="0.2">
      <c r="C107" s="2">
        <v>2</v>
      </c>
      <c r="D107" s="9">
        <f t="shared" si="14"/>
        <v>42373</v>
      </c>
      <c r="E107" s="9">
        <f t="shared" si="15"/>
        <v>42386</v>
      </c>
      <c r="F107" s="9">
        <f t="shared" si="9"/>
        <v>42391</v>
      </c>
      <c r="G107" s="1">
        <f t="shared" si="10"/>
        <v>2016</v>
      </c>
      <c r="H107" s="2" t="str">
        <f t="shared" si="16"/>
        <v/>
      </c>
      <c r="I107" s="2" t="str">
        <f t="shared" si="11"/>
        <v>January</v>
      </c>
      <c r="J107" s="2" t="str">
        <f t="shared" si="17"/>
        <v/>
      </c>
      <c r="K107" s="2" t="str">
        <f t="shared" si="12"/>
        <v>20162</v>
      </c>
      <c r="W107" s="2" t="str">
        <f t="shared" si="13"/>
        <v>FY16-02</v>
      </c>
    </row>
    <row r="108" spans="3:23" x14ac:dyDescent="0.2">
      <c r="C108" s="2">
        <v>3</v>
      </c>
      <c r="D108" s="9">
        <f t="shared" si="14"/>
        <v>42387</v>
      </c>
      <c r="E108" s="9">
        <f t="shared" si="15"/>
        <v>42400</v>
      </c>
      <c r="F108" s="9">
        <f t="shared" si="9"/>
        <v>42405</v>
      </c>
      <c r="G108" s="1">
        <f t="shared" si="10"/>
        <v>2016</v>
      </c>
      <c r="H108" s="2" t="str">
        <f t="shared" si="16"/>
        <v/>
      </c>
      <c r="I108" s="2" t="str">
        <f t="shared" si="11"/>
        <v>February</v>
      </c>
      <c r="J108" s="2" t="str">
        <f t="shared" si="17"/>
        <v/>
      </c>
      <c r="K108" s="2" t="str">
        <f t="shared" si="12"/>
        <v>20163</v>
      </c>
      <c r="W108" s="2" t="str">
        <f t="shared" si="13"/>
        <v>FY16-03</v>
      </c>
    </row>
    <row r="109" spans="3:23" x14ac:dyDescent="0.2">
      <c r="C109" s="2">
        <v>4</v>
      </c>
      <c r="D109" s="9">
        <f t="shared" si="14"/>
        <v>42401</v>
      </c>
      <c r="E109" s="9">
        <f t="shared" si="15"/>
        <v>42414</v>
      </c>
      <c r="F109" s="9">
        <f t="shared" si="9"/>
        <v>42419</v>
      </c>
      <c r="G109" s="1">
        <f t="shared" si="10"/>
        <v>2016</v>
      </c>
      <c r="H109" s="2" t="str">
        <f t="shared" si="16"/>
        <v/>
      </c>
      <c r="I109" s="2" t="str">
        <f t="shared" si="11"/>
        <v>February</v>
      </c>
      <c r="J109" s="2" t="str">
        <f t="shared" si="17"/>
        <v>Mon</v>
      </c>
      <c r="K109" s="2" t="str">
        <f t="shared" si="12"/>
        <v>20164</v>
      </c>
      <c r="W109" s="2" t="str">
        <f t="shared" si="13"/>
        <v>FY16-04</v>
      </c>
    </row>
    <row r="110" spans="3:23" x14ac:dyDescent="0.2">
      <c r="C110" s="2">
        <v>5</v>
      </c>
      <c r="D110" s="9">
        <f t="shared" si="14"/>
        <v>42415</v>
      </c>
      <c r="E110" s="9">
        <f t="shared" si="15"/>
        <v>42428</v>
      </c>
      <c r="F110" s="9">
        <f t="shared" si="9"/>
        <v>42433</v>
      </c>
      <c r="G110" s="1">
        <f t="shared" si="10"/>
        <v>2016</v>
      </c>
      <c r="H110" s="2" t="str">
        <f t="shared" si="16"/>
        <v/>
      </c>
      <c r="I110" s="2" t="str">
        <f t="shared" si="11"/>
        <v>March</v>
      </c>
      <c r="J110" s="2" t="str">
        <f t="shared" si="17"/>
        <v/>
      </c>
      <c r="K110" s="2" t="str">
        <f t="shared" si="12"/>
        <v>20165</v>
      </c>
      <c r="W110" s="2" t="str">
        <f t="shared" si="13"/>
        <v>FY16-05</v>
      </c>
    </row>
    <row r="111" spans="3:23" x14ac:dyDescent="0.2">
      <c r="C111" s="2">
        <v>6</v>
      </c>
      <c r="D111" s="9">
        <f t="shared" si="14"/>
        <v>42429</v>
      </c>
      <c r="E111" s="9">
        <f t="shared" si="15"/>
        <v>42442</v>
      </c>
      <c r="F111" s="9">
        <f t="shared" si="9"/>
        <v>42447</v>
      </c>
      <c r="G111" s="1">
        <f t="shared" si="10"/>
        <v>2016</v>
      </c>
      <c r="H111" s="2" t="str">
        <f t="shared" si="16"/>
        <v/>
      </c>
      <c r="I111" s="2" t="str">
        <f t="shared" si="11"/>
        <v>March</v>
      </c>
      <c r="J111" s="2" t="str">
        <f t="shared" si="17"/>
        <v>Tue</v>
      </c>
      <c r="K111" s="2" t="str">
        <f t="shared" si="12"/>
        <v>20166</v>
      </c>
      <c r="W111" s="2" t="str">
        <f t="shared" si="13"/>
        <v>FY16-06</v>
      </c>
    </row>
    <row r="112" spans="3:23" x14ac:dyDescent="0.2">
      <c r="C112" s="2">
        <v>7</v>
      </c>
      <c r="D112" s="9">
        <f t="shared" si="14"/>
        <v>42443</v>
      </c>
      <c r="E112" s="9">
        <f t="shared" si="15"/>
        <v>42456</v>
      </c>
      <c r="F112" s="9">
        <f t="shared" si="9"/>
        <v>42461</v>
      </c>
      <c r="G112" s="1">
        <f t="shared" si="10"/>
        <v>2016</v>
      </c>
      <c r="H112" s="2" t="str">
        <f t="shared" si="16"/>
        <v/>
      </c>
      <c r="I112" s="2" t="str">
        <f t="shared" si="11"/>
        <v>April</v>
      </c>
      <c r="J112" s="2" t="str">
        <f t="shared" si="17"/>
        <v/>
      </c>
      <c r="K112" s="2" t="str">
        <f t="shared" si="12"/>
        <v>20167</v>
      </c>
      <c r="W112" s="2" t="str">
        <f t="shared" si="13"/>
        <v>FY16-07</v>
      </c>
    </row>
    <row r="113" spans="3:23" x14ac:dyDescent="0.2">
      <c r="C113" s="2">
        <v>8</v>
      </c>
      <c r="D113" s="9">
        <f t="shared" si="14"/>
        <v>42457</v>
      </c>
      <c r="E113" s="9">
        <f t="shared" si="15"/>
        <v>42470</v>
      </c>
      <c r="F113" s="9">
        <f t="shared" si="9"/>
        <v>42475</v>
      </c>
      <c r="G113" s="1">
        <f t="shared" si="10"/>
        <v>2016</v>
      </c>
      <c r="H113" s="2" t="str">
        <f t="shared" si="16"/>
        <v/>
      </c>
      <c r="I113" s="2" t="str">
        <f t="shared" si="11"/>
        <v>April</v>
      </c>
      <c r="J113" s="2" t="str">
        <f t="shared" si="17"/>
        <v>Fri</v>
      </c>
      <c r="K113" s="2" t="str">
        <f t="shared" si="12"/>
        <v>20168</v>
      </c>
      <c r="W113" s="2" t="str">
        <f t="shared" si="13"/>
        <v>FY16-08</v>
      </c>
    </row>
    <row r="114" spans="3:23" x14ac:dyDescent="0.2">
      <c r="C114" s="2">
        <v>9</v>
      </c>
      <c r="D114" s="9">
        <f t="shared" si="14"/>
        <v>42471</v>
      </c>
      <c r="E114" s="9">
        <f t="shared" si="15"/>
        <v>42484</v>
      </c>
      <c r="F114" s="9">
        <f t="shared" si="9"/>
        <v>42489</v>
      </c>
      <c r="G114" s="1">
        <f t="shared" si="10"/>
        <v>2016</v>
      </c>
      <c r="H114" s="2" t="str">
        <f t="shared" si="16"/>
        <v/>
      </c>
      <c r="I114" s="2" t="str">
        <f t="shared" si="11"/>
        <v>April</v>
      </c>
      <c r="J114" s="2" t="str">
        <f t="shared" si="17"/>
        <v/>
      </c>
      <c r="K114" s="2" t="str">
        <f t="shared" si="12"/>
        <v>20169</v>
      </c>
      <c r="W114" s="2" t="str">
        <f t="shared" si="13"/>
        <v>FY16-09</v>
      </c>
    </row>
    <row r="115" spans="3:23" x14ac:dyDescent="0.2">
      <c r="C115" s="2">
        <v>10</v>
      </c>
      <c r="D115" s="9">
        <f t="shared" si="14"/>
        <v>42485</v>
      </c>
      <c r="E115" s="9">
        <f t="shared" si="15"/>
        <v>42498</v>
      </c>
      <c r="F115" s="9">
        <f t="shared" si="9"/>
        <v>42503</v>
      </c>
      <c r="G115" s="1">
        <f t="shared" si="10"/>
        <v>2016</v>
      </c>
      <c r="H115" s="2" t="str">
        <f t="shared" si="16"/>
        <v/>
      </c>
      <c r="I115" s="2" t="str">
        <f t="shared" si="11"/>
        <v>May</v>
      </c>
      <c r="J115" s="2" t="str">
        <f t="shared" si="17"/>
        <v>Sun</v>
      </c>
      <c r="K115" s="2" t="str">
        <f t="shared" si="12"/>
        <v>201610</v>
      </c>
      <c r="W115" s="2" t="str">
        <f t="shared" si="13"/>
        <v>FY16-10</v>
      </c>
    </row>
    <row r="116" spans="3:23" x14ac:dyDescent="0.2">
      <c r="C116" s="2">
        <v>11</v>
      </c>
      <c r="D116" s="9">
        <f t="shared" si="14"/>
        <v>42499</v>
      </c>
      <c r="E116" s="9">
        <f t="shared" si="15"/>
        <v>42512</v>
      </c>
      <c r="F116" s="9">
        <f t="shared" si="9"/>
        <v>42517</v>
      </c>
      <c r="G116" s="1">
        <f t="shared" si="10"/>
        <v>2016</v>
      </c>
      <c r="H116" s="2" t="str">
        <f t="shared" si="16"/>
        <v/>
      </c>
      <c r="I116" s="2" t="str">
        <f t="shared" si="11"/>
        <v>May</v>
      </c>
      <c r="J116" s="2" t="str">
        <f t="shared" si="17"/>
        <v/>
      </c>
      <c r="K116" s="2" t="str">
        <f t="shared" si="12"/>
        <v>201611</v>
      </c>
      <c r="W116" s="2" t="str">
        <f t="shared" si="13"/>
        <v>FY16-11</v>
      </c>
    </row>
    <row r="117" spans="3:23" x14ac:dyDescent="0.2">
      <c r="C117" s="2">
        <v>12</v>
      </c>
      <c r="D117" s="9">
        <f t="shared" si="14"/>
        <v>42513</v>
      </c>
      <c r="E117" s="9">
        <f t="shared" si="15"/>
        <v>42526</v>
      </c>
      <c r="F117" s="9">
        <f t="shared" si="9"/>
        <v>42531</v>
      </c>
      <c r="G117" s="1">
        <f t="shared" si="10"/>
        <v>2016</v>
      </c>
      <c r="H117" s="2" t="str">
        <f t="shared" si="16"/>
        <v/>
      </c>
      <c r="I117" s="2" t="str">
        <f t="shared" si="11"/>
        <v>June</v>
      </c>
      <c r="J117" s="2" t="str">
        <f t="shared" si="17"/>
        <v>Wed</v>
      </c>
      <c r="K117" s="2" t="str">
        <f t="shared" si="12"/>
        <v>201612</v>
      </c>
      <c r="W117" s="2" t="str">
        <f t="shared" si="13"/>
        <v>FY16-12</v>
      </c>
    </row>
    <row r="118" spans="3:23" x14ac:dyDescent="0.2">
      <c r="C118" s="2">
        <v>13</v>
      </c>
      <c r="D118" s="9">
        <f t="shared" si="14"/>
        <v>42527</v>
      </c>
      <c r="E118" s="9">
        <f t="shared" si="15"/>
        <v>42540</v>
      </c>
      <c r="F118" s="9">
        <f t="shared" si="9"/>
        <v>42545</v>
      </c>
      <c r="G118" s="1">
        <f t="shared" si="10"/>
        <v>2016</v>
      </c>
      <c r="H118" s="2" t="str">
        <f t="shared" si="16"/>
        <v/>
      </c>
      <c r="I118" s="2" t="str">
        <f t="shared" si="11"/>
        <v>June</v>
      </c>
      <c r="J118" s="2" t="str">
        <f t="shared" si="17"/>
        <v/>
      </c>
      <c r="K118" s="2" t="str">
        <f t="shared" si="12"/>
        <v>201613</v>
      </c>
      <c r="W118" s="2" t="str">
        <f t="shared" si="13"/>
        <v>FY16-13</v>
      </c>
    </row>
    <row r="119" spans="3:23" x14ac:dyDescent="0.2">
      <c r="C119" s="2">
        <v>14</v>
      </c>
      <c r="D119" s="9">
        <f t="shared" si="14"/>
        <v>42541</v>
      </c>
      <c r="E119" s="9">
        <f t="shared" si="15"/>
        <v>42554</v>
      </c>
      <c r="F119" s="9">
        <f t="shared" si="9"/>
        <v>42559</v>
      </c>
      <c r="G119" s="1">
        <f t="shared" si="10"/>
        <v>2016</v>
      </c>
      <c r="I119" s="2" t="str">
        <f t="shared" si="11"/>
        <v>July</v>
      </c>
      <c r="J119" s="2" t="str">
        <f t="shared" si="17"/>
        <v>Fri</v>
      </c>
      <c r="K119" s="2" t="str">
        <f t="shared" si="12"/>
        <v>201614</v>
      </c>
      <c r="W119" s="2" t="str">
        <f t="shared" si="13"/>
        <v>FY16-14</v>
      </c>
    </row>
    <row r="120" spans="3:23" x14ac:dyDescent="0.2">
      <c r="C120" s="2">
        <v>15</v>
      </c>
      <c r="D120" s="9">
        <f t="shared" si="14"/>
        <v>42555</v>
      </c>
      <c r="E120" s="9">
        <f t="shared" si="15"/>
        <v>42568</v>
      </c>
      <c r="F120" s="9">
        <f t="shared" si="9"/>
        <v>42573</v>
      </c>
      <c r="G120" s="1">
        <f t="shared" si="10"/>
        <v>2016</v>
      </c>
      <c r="I120" s="2" t="str">
        <f t="shared" si="11"/>
        <v>July</v>
      </c>
      <c r="J120" s="2" t="str">
        <f t="shared" si="17"/>
        <v/>
      </c>
      <c r="K120" s="2" t="str">
        <f t="shared" si="12"/>
        <v>201615</v>
      </c>
      <c r="W120" s="2" t="str">
        <f t="shared" si="13"/>
        <v>FY16-15</v>
      </c>
    </row>
    <row r="121" spans="3:23" x14ac:dyDescent="0.2">
      <c r="C121" s="2">
        <v>16</v>
      </c>
      <c r="D121" s="9">
        <f t="shared" si="14"/>
        <v>42569</v>
      </c>
      <c r="E121" s="9">
        <f t="shared" si="15"/>
        <v>42582</v>
      </c>
      <c r="F121" s="9">
        <f t="shared" si="9"/>
        <v>42587</v>
      </c>
      <c r="G121" s="1">
        <f t="shared" si="10"/>
        <v>2016</v>
      </c>
      <c r="I121" s="2" t="str">
        <f t="shared" si="11"/>
        <v>August</v>
      </c>
      <c r="J121" s="2" t="str">
        <f t="shared" si="17"/>
        <v/>
      </c>
      <c r="K121" s="2" t="str">
        <f t="shared" si="12"/>
        <v>201616</v>
      </c>
      <c r="W121" s="2" t="str">
        <f t="shared" si="13"/>
        <v>FY16-16</v>
      </c>
    </row>
    <row r="122" spans="3:23" x14ac:dyDescent="0.2">
      <c r="C122" s="2">
        <v>17</v>
      </c>
      <c r="D122" s="9">
        <f t="shared" si="14"/>
        <v>42583</v>
      </c>
      <c r="E122" s="9">
        <f t="shared" si="15"/>
        <v>42596</v>
      </c>
      <c r="F122" s="9">
        <f t="shared" si="9"/>
        <v>42601</v>
      </c>
      <c r="G122" s="1">
        <f t="shared" si="10"/>
        <v>2016</v>
      </c>
      <c r="I122" s="2" t="str">
        <f t="shared" si="11"/>
        <v>August</v>
      </c>
      <c r="J122" s="2" t="str">
        <f t="shared" si="17"/>
        <v>Mon</v>
      </c>
      <c r="K122" s="2" t="str">
        <f t="shared" si="12"/>
        <v>201617</v>
      </c>
      <c r="W122" s="2" t="str">
        <f t="shared" si="13"/>
        <v>FY16-17</v>
      </c>
    </row>
    <row r="123" spans="3:23" x14ac:dyDescent="0.2">
      <c r="C123" s="2">
        <v>18</v>
      </c>
      <c r="D123" s="9">
        <f t="shared" si="14"/>
        <v>42597</v>
      </c>
      <c r="E123" s="9">
        <f t="shared" si="15"/>
        <v>42610</v>
      </c>
      <c r="F123" s="9">
        <f t="shared" si="9"/>
        <v>42615</v>
      </c>
      <c r="G123" s="1">
        <f t="shared" ref="G123" si="18">IF(E123&lt;DATE(2012,9,1),2012,IF(E123&lt;DATE(2013,9,1),2013,IF(E123&lt;DATE(2014,9,1),2014,IF(E123&lt;DATE(2015,9,1),2015,2016))))</f>
        <v>2016</v>
      </c>
      <c r="I123" s="2" t="str">
        <f t="shared" si="11"/>
        <v>September</v>
      </c>
      <c r="J123" s="2" t="str">
        <f t="shared" si="17"/>
        <v/>
      </c>
      <c r="K123" s="2" t="str">
        <f t="shared" si="12"/>
        <v>201618</v>
      </c>
      <c r="W123" s="2" t="str">
        <f t="shared" si="13"/>
        <v>FY16-18</v>
      </c>
    </row>
    <row r="124" spans="3:23" x14ac:dyDescent="0.2">
      <c r="C124" s="2">
        <v>19</v>
      </c>
      <c r="D124" s="9">
        <f t="shared" si="14"/>
        <v>42611</v>
      </c>
      <c r="E124" s="9">
        <f t="shared" si="15"/>
        <v>42624</v>
      </c>
      <c r="F124" s="9">
        <f t="shared" si="9"/>
        <v>42629</v>
      </c>
      <c r="G124" s="1">
        <f t="shared" ref="G124" si="19">IF(E124&lt;DATE(2012,9,1),2012,IF(E124&lt;DATE(2013,9,1),2013,IF(E124&lt;DATE(2014,9,1),2014,IF(E124&lt;DATE(2015,9,1),2015,2016))))</f>
        <v>2016</v>
      </c>
      <c r="I124" s="2" t="str">
        <f t="shared" si="11"/>
        <v>September</v>
      </c>
      <c r="J124" s="2" t="str">
        <f t="shared" si="17"/>
        <v>Thu</v>
      </c>
      <c r="K124" s="2" t="str">
        <f t="shared" si="12"/>
        <v>201619</v>
      </c>
      <c r="W124" s="2" t="str">
        <f t="shared" si="13"/>
        <v>FY16-19</v>
      </c>
    </row>
    <row r="125" spans="3:23" x14ac:dyDescent="0.2">
      <c r="C125" s="2"/>
      <c r="W125" s="2"/>
    </row>
    <row r="126" spans="3:23" x14ac:dyDescent="0.2">
      <c r="C126" s="2"/>
    </row>
    <row r="127" spans="3:23" x14ac:dyDescent="0.2">
      <c r="C127" s="2"/>
    </row>
    <row r="128" spans="3:2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56</v>
      </c>
    </row>
    <row r="2" spans="1:1" x14ac:dyDescent="0.2">
      <c r="A2" s="22" t="s">
        <v>57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2013-05-21T02:51:11Z</dcterms:modified>
</cp:coreProperties>
</file>